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kangh\Downloads\"/>
    </mc:Choice>
  </mc:AlternateContent>
  <bookViews>
    <workbookView xWindow="0" yWindow="0" windowWidth="23040" windowHeight="8856"/>
  </bookViews>
  <sheets>
    <sheet name="26_청년_부서명단 (수정)" sheetId="2" r:id="rId1"/>
  </sheets>
  <calcPr calcId="162913"/>
  <extLst>
    <ext uri="GoogleSheetsCustomDataVersion2">
      <go:sheetsCustomData xmlns:go="http://customooxmlschemas.google.com/" r:id="rId6" roundtripDataChecksum="82neejxsqlmM/Ss/K4C9pY+bByb1DB6f2SvAWwcXGzM="/>
    </ext>
  </extLst>
</workbook>
</file>

<file path=xl/calcChain.xml><?xml version="1.0" encoding="utf-8"?>
<calcChain xmlns="http://schemas.openxmlformats.org/spreadsheetml/2006/main">
  <c r="U38" i="2" l="1"/>
  <c r="N38" i="2"/>
  <c r="M38" i="2"/>
  <c r="F38" i="2"/>
  <c r="F39" i="2" s="1"/>
  <c r="E38" i="2"/>
  <c r="V35" i="2"/>
  <c r="U34" i="2"/>
  <c r="T34" i="2"/>
  <c r="S34" i="2"/>
  <c r="R34" i="2"/>
  <c r="Q34" i="2"/>
  <c r="Q38" i="2" s="1"/>
  <c r="P34" i="2"/>
  <c r="P38" i="2" s="1"/>
  <c r="P39" i="2" s="1"/>
  <c r="O34" i="2"/>
  <c r="N34" i="2"/>
  <c r="M34" i="2"/>
  <c r="L34" i="2"/>
  <c r="K34" i="2"/>
  <c r="J34" i="2"/>
  <c r="I34" i="2"/>
  <c r="I38" i="2" s="1"/>
  <c r="H34" i="2"/>
  <c r="H38" i="2" s="1"/>
  <c r="H39" i="2" s="1"/>
  <c r="G34" i="2"/>
  <c r="F34" i="2"/>
  <c r="E34" i="2"/>
  <c r="D34" i="2"/>
  <c r="V25" i="2"/>
  <c r="V23" i="2"/>
  <c r="U22" i="2"/>
  <c r="T22" i="2"/>
  <c r="T38" i="2" s="1"/>
  <c r="T39" i="2" s="1"/>
  <c r="S22" i="2"/>
  <c r="S38" i="2" s="1"/>
  <c r="R22" i="2"/>
  <c r="R38" i="2" s="1"/>
  <c r="R39" i="2" s="1"/>
  <c r="Q22" i="2"/>
  <c r="P22" i="2"/>
  <c r="O22" i="2"/>
  <c r="O38" i="2" s="1"/>
  <c r="N22" i="2"/>
  <c r="M22" i="2"/>
  <c r="L22" i="2"/>
  <c r="L38" i="2" s="1"/>
  <c r="L39" i="2" s="1"/>
  <c r="K22" i="2"/>
  <c r="K38" i="2" s="1"/>
  <c r="J22" i="2"/>
  <c r="J38" i="2" s="1"/>
  <c r="J39" i="2" s="1"/>
  <c r="I22" i="2"/>
  <c r="H22" i="2"/>
  <c r="G22" i="2"/>
  <c r="G38" i="2" s="1"/>
  <c r="F22" i="2"/>
  <c r="E22" i="2"/>
  <c r="D22" i="2"/>
  <c r="D38" i="2" s="1"/>
  <c r="D39" i="2" s="1"/>
  <c r="V10" i="2"/>
  <c r="V8" i="2"/>
  <c r="N39" i="2" l="1"/>
  <c r="V38" i="2" s="1"/>
</calcChain>
</file>

<file path=xl/sharedStrings.xml><?xml version="1.0" encoding="utf-8"?>
<sst xmlns="http://schemas.openxmlformats.org/spreadsheetml/2006/main" count="309" uniqueCount="288">
  <si>
    <t>구분</t>
  </si>
  <si>
    <t>이우찬</t>
  </si>
  <si>
    <t>박광민</t>
  </si>
  <si>
    <t>김성겸</t>
  </si>
  <si>
    <t>방상훈</t>
  </si>
  <si>
    <t>노경서</t>
  </si>
  <si>
    <t>유정민</t>
  </si>
  <si>
    <t>이요한</t>
  </si>
  <si>
    <t>정희중</t>
  </si>
  <si>
    <t>손광진</t>
  </si>
  <si>
    <t>박서연</t>
  </si>
  <si>
    <t>지하은</t>
  </si>
  <si>
    <t>오혜원</t>
  </si>
  <si>
    <t>박선현</t>
  </si>
  <si>
    <t>소은빈</t>
  </si>
  <si>
    <t>고수빈</t>
  </si>
  <si>
    <t>구나연</t>
  </si>
  <si>
    <t>김윤아</t>
  </si>
  <si>
    <t>사랑부</t>
  </si>
  <si>
    <t>희락부</t>
  </si>
  <si>
    <t>화평부</t>
  </si>
  <si>
    <t>인내부</t>
  </si>
  <si>
    <t>자비부</t>
  </si>
  <si>
    <t>양선부</t>
  </si>
  <si>
    <t>충성부</t>
  </si>
  <si>
    <t>온유부</t>
  </si>
  <si>
    <t>절제부</t>
  </si>
  <si>
    <t>임규원</t>
  </si>
  <si>
    <t>정문기</t>
  </si>
  <si>
    <t>이영인</t>
  </si>
  <si>
    <t>박정기</t>
  </si>
  <si>
    <t>양지혁</t>
  </si>
  <si>
    <t>임형주</t>
  </si>
  <si>
    <t>이경민</t>
  </si>
  <si>
    <t>주병준</t>
  </si>
  <si>
    <t>박대권</t>
  </si>
  <si>
    <t>홍현준</t>
  </si>
  <si>
    <t>이우철</t>
  </si>
  <si>
    <t>이종훈</t>
  </si>
  <si>
    <t>박민구</t>
  </si>
  <si>
    <t>김민체</t>
  </si>
  <si>
    <t>박성열</t>
  </si>
  <si>
    <t>김민종</t>
  </si>
  <si>
    <t>박인수</t>
  </si>
  <si>
    <t>최서진</t>
  </si>
  <si>
    <t>강성아</t>
  </si>
  <si>
    <t>최고은</t>
  </si>
  <si>
    <t>정다운</t>
  </si>
  <si>
    <t>정서현</t>
  </si>
  <si>
    <t>최은정</t>
  </si>
  <si>
    <t>오혜진</t>
  </si>
  <si>
    <t>최영주</t>
  </si>
  <si>
    <t>이설</t>
  </si>
  <si>
    <t>박지윤</t>
  </si>
  <si>
    <t>하은빈</t>
  </si>
  <si>
    <t>구나경</t>
  </si>
  <si>
    <t>박은혜</t>
  </si>
  <si>
    <t>임미현</t>
  </si>
  <si>
    <t>오여경</t>
  </si>
  <si>
    <t>황서희</t>
  </si>
  <si>
    <t>송주영</t>
  </si>
  <si>
    <t>김진영</t>
  </si>
  <si>
    <t>김민석</t>
  </si>
  <si>
    <t>고은</t>
  </si>
  <si>
    <t>김윤중</t>
  </si>
  <si>
    <t>김채연</t>
  </si>
  <si>
    <t>김희준</t>
  </si>
  <si>
    <t>노해영</t>
  </si>
  <si>
    <t>민혜찬</t>
  </si>
  <si>
    <t>박지수</t>
  </si>
  <si>
    <t>박경희</t>
  </si>
  <si>
    <t>최진규</t>
  </si>
  <si>
    <t>박포은</t>
  </si>
  <si>
    <t>오시연</t>
  </si>
  <si>
    <t>윤빈</t>
  </si>
  <si>
    <t>이윤서</t>
  </si>
  <si>
    <t>양주영</t>
  </si>
  <si>
    <t>윤은지</t>
  </si>
  <si>
    <t>이명기</t>
  </si>
  <si>
    <t>임소현</t>
  </si>
  <si>
    <t>이상명</t>
  </si>
  <si>
    <t>임소희</t>
  </si>
  <si>
    <t>신재민</t>
  </si>
  <si>
    <t>노유민</t>
  </si>
  <si>
    <t>황수민</t>
  </si>
  <si>
    <t>정소명</t>
  </si>
  <si>
    <t>유성일</t>
  </si>
  <si>
    <t>송유찬</t>
  </si>
  <si>
    <t>이호윤</t>
  </si>
  <si>
    <t>이재일</t>
  </si>
  <si>
    <t>하주은</t>
  </si>
  <si>
    <t>황인영</t>
  </si>
  <si>
    <t>소은채</t>
  </si>
  <si>
    <t>서효주</t>
  </si>
  <si>
    <t>이준섭</t>
  </si>
  <si>
    <t>정세진</t>
  </si>
  <si>
    <t>송민주</t>
  </si>
  <si>
    <t>이준우</t>
  </si>
  <si>
    <t>홍광야</t>
  </si>
  <si>
    <t>황경환</t>
  </si>
  <si>
    <r>
      <rPr>
        <b/>
        <sz val="10"/>
        <color rgb="FFFFFFFF"/>
        <rFont val="Nanum Gothic"/>
      </rPr>
      <t>2026</t>
    </r>
    <r>
      <rPr>
        <b/>
        <sz val="10"/>
        <color rgb="FFFFFFFF"/>
        <rFont val="맑은 고딕"/>
        <family val="3"/>
        <charset val="129"/>
      </rPr>
      <t>년</t>
    </r>
    <r>
      <rPr>
        <b/>
        <sz val="10"/>
        <color rgb="FFFFFFFF"/>
        <rFont val="Nanum Gothic"/>
      </rPr>
      <t xml:space="preserve"> </t>
    </r>
    <r>
      <rPr>
        <b/>
        <sz val="10"/>
        <color rgb="FFFFFFFF"/>
        <rFont val="맑은 고딕"/>
        <family val="3"/>
        <charset val="129"/>
      </rPr>
      <t>대전교회</t>
    </r>
    <r>
      <rPr>
        <b/>
        <sz val="10"/>
        <color rgb="FFFFFFFF"/>
        <rFont val="Nanum Gothic"/>
      </rPr>
      <t xml:space="preserve"> </t>
    </r>
    <r>
      <rPr>
        <b/>
        <sz val="10"/>
        <color rgb="FFFFFFFF"/>
        <rFont val="맑은 고딕"/>
        <family val="3"/>
        <charset val="129"/>
      </rPr>
      <t>청년회</t>
    </r>
    <r>
      <rPr>
        <b/>
        <sz val="10"/>
        <color rgb="FFFFFFFF"/>
        <rFont val="Nanum Gothic"/>
      </rPr>
      <t xml:space="preserve"> </t>
    </r>
    <r>
      <rPr>
        <b/>
        <sz val="10"/>
        <color rgb="FFFFFFFF"/>
        <rFont val="맑은 고딕"/>
        <family val="3"/>
        <charset val="129"/>
      </rPr>
      <t>부서</t>
    </r>
    <r>
      <rPr>
        <b/>
        <sz val="10"/>
        <color rgb="FFFFFFFF"/>
        <rFont val="Nanum Gothic"/>
      </rPr>
      <t xml:space="preserve"> </t>
    </r>
    <r>
      <rPr>
        <b/>
        <sz val="10"/>
        <color rgb="FFFFFFFF"/>
        <rFont val="맑은 고딕"/>
        <family val="3"/>
        <charset val="129"/>
      </rPr>
      <t>명단</t>
    </r>
  </si>
  <si>
    <t>2026년 대전교회 청년회 부서 명단</t>
  </si>
  <si>
    <t>합계</t>
  </si>
  <si>
    <t>형제</t>
  </si>
  <si>
    <t>자매</t>
  </si>
  <si>
    <t>부서임원</t>
  </si>
  <si>
    <t>부서원</t>
  </si>
  <si>
    <t>청년
부서원</t>
  </si>
  <si>
    <t>구우림</t>
  </si>
  <si>
    <t>김은혜21</t>
  </si>
  <si>
    <t>김수빈</t>
  </si>
  <si>
    <t>기춘영</t>
  </si>
  <si>
    <t>김민지</t>
  </si>
  <si>
    <t>김설아</t>
  </si>
  <si>
    <t>김선우</t>
  </si>
  <si>
    <t>김건우</t>
  </si>
  <si>
    <t>박혜연</t>
  </si>
  <si>
    <t>김경운</t>
  </si>
  <si>
    <t>박명선</t>
  </si>
  <si>
    <t>김재희</t>
  </si>
  <si>
    <t>김기현</t>
  </si>
  <si>
    <t>김채정</t>
  </si>
  <si>
    <t>김범석</t>
  </si>
  <si>
    <t>김나래</t>
  </si>
  <si>
    <t>김권</t>
  </si>
  <si>
    <t>김유진19</t>
  </si>
  <si>
    <t>김기웅</t>
  </si>
  <si>
    <t>김예솔</t>
  </si>
  <si>
    <t>김채원</t>
  </si>
  <si>
    <r>
      <rPr>
        <sz val="10"/>
        <color theme="1"/>
        <rFont val="맑은 고딕"/>
        <family val="3"/>
        <charset val="129"/>
      </rPr>
      <t>김은혜</t>
    </r>
    <r>
      <rPr>
        <sz val="10"/>
        <color theme="1"/>
        <rFont val="Nanum Gothic"/>
      </rPr>
      <t>17</t>
    </r>
  </si>
  <si>
    <t>박건하</t>
  </si>
  <si>
    <t>송도연</t>
  </si>
  <si>
    <t>백은솔</t>
  </si>
  <si>
    <t>박상은</t>
  </si>
  <si>
    <t>양지은</t>
  </si>
  <si>
    <t>오영진</t>
  </si>
  <si>
    <t>김설랑</t>
  </si>
  <si>
    <t>문대현</t>
  </si>
  <si>
    <t>윤진영</t>
  </si>
  <si>
    <t>노수환</t>
  </si>
  <si>
    <t>방희진</t>
  </si>
  <si>
    <t>김사랑</t>
  </si>
  <si>
    <t>김인형</t>
  </si>
  <si>
    <t>박수현</t>
  </si>
  <si>
    <t>임연지</t>
  </si>
  <si>
    <t>양병건</t>
  </si>
  <si>
    <t>박지민</t>
  </si>
  <si>
    <t>임성준</t>
  </si>
  <si>
    <t>김택현</t>
  </si>
  <si>
    <t>유이레</t>
  </si>
  <si>
    <t>박형준</t>
  </si>
  <si>
    <t>이수연</t>
  </si>
  <si>
    <t>안경연</t>
  </si>
  <si>
    <t>김이삭</t>
  </si>
  <si>
    <t>민예은</t>
  </si>
  <si>
    <t>신동혁</t>
  </si>
  <si>
    <t>김인혜</t>
  </si>
  <si>
    <t>탁은희</t>
  </si>
  <si>
    <t>이상준</t>
  </si>
  <si>
    <t>신소연</t>
  </si>
  <si>
    <t>싸갈</t>
  </si>
  <si>
    <t>이보은</t>
  </si>
  <si>
    <t>정민영</t>
  </si>
  <si>
    <t>우상희</t>
  </si>
  <si>
    <t>문준호</t>
  </si>
  <si>
    <t>조유빈</t>
  </si>
  <si>
    <t>엄하람</t>
  </si>
  <si>
    <t>양대원</t>
  </si>
  <si>
    <t>장미소</t>
  </si>
  <si>
    <t>손유지</t>
  </si>
  <si>
    <t>신민성</t>
  </si>
  <si>
    <t>김지윤</t>
  </si>
  <si>
    <t>홍주연</t>
  </si>
  <si>
    <t>이한</t>
  </si>
  <si>
    <t>엄인선</t>
  </si>
  <si>
    <t>양현중</t>
  </si>
  <si>
    <t>이혜린</t>
  </si>
  <si>
    <t>조광연</t>
  </si>
  <si>
    <t>이지연</t>
  </si>
  <si>
    <t>박예은</t>
  </si>
  <si>
    <t>정성엽</t>
  </si>
  <si>
    <t>정다래</t>
  </si>
  <si>
    <t>최은지</t>
  </si>
  <si>
    <t>조영재</t>
  </si>
  <si>
    <t>이수미</t>
  </si>
  <si>
    <t>최명욱</t>
  </si>
  <si>
    <t>이주열</t>
  </si>
  <si>
    <t>홍하솜</t>
  </si>
  <si>
    <t>함승범</t>
  </si>
  <si>
    <t>이하나</t>
  </si>
  <si>
    <t>원용재</t>
  </si>
  <si>
    <t>홍현진</t>
  </si>
  <si>
    <t>조예슬</t>
  </si>
  <si>
    <t>소재권</t>
  </si>
  <si>
    <t>윤준식</t>
  </si>
  <si>
    <t>정우정</t>
  </si>
  <si>
    <t>임형곤</t>
  </si>
  <si>
    <t>한정민</t>
  </si>
  <si>
    <t>조안나</t>
  </si>
  <si>
    <t>조영범</t>
  </si>
  <si>
    <t>홍해냄</t>
  </si>
  <si>
    <t>허두혁</t>
  </si>
  <si>
    <t>최상원</t>
  </si>
  <si>
    <t>정의빈</t>
  </si>
  <si>
    <t>손보미</t>
  </si>
  <si>
    <t>황송희</t>
  </si>
  <si>
    <t>홍순호</t>
  </si>
  <si>
    <t>소계</t>
  </si>
  <si>
    <t>임원</t>
  </si>
  <si>
    <r>
      <rPr>
        <sz val="10"/>
        <color theme="1"/>
        <rFont val="맑은 고딕"/>
        <family val="3"/>
        <charset val="129"/>
      </rPr>
      <t>김유진</t>
    </r>
    <r>
      <rPr>
        <sz val="10"/>
        <color theme="1"/>
        <rFont val="Nanum Gothic"/>
      </rPr>
      <t>22</t>
    </r>
  </si>
  <si>
    <t>대학
부서원</t>
  </si>
  <si>
    <t>신민철</t>
  </si>
  <si>
    <r>
      <rPr>
        <sz val="10"/>
        <color theme="1"/>
        <rFont val="맑은 고딕"/>
        <family val="3"/>
        <charset val="129"/>
      </rPr>
      <t>박예은</t>
    </r>
    <r>
      <rPr>
        <sz val="10"/>
        <color theme="1"/>
        <rFont val="Nanum Gothic"/>
      </rPr>
      <t>23</t>
    </r>
  </si>
  <si>
    <t>김승규</t>
  </si>
  <si>
    <t>고현빈</t>
  </si>
  <si>
    <t>구한빈</t>
  </si>
  <si>
    <t>이기안</t>
  </si>
  <si>
    <t>김예성</t>
  </si>
  <si>
    <t>김건영</t>
  </si>
  <si>
    <t>고유미</t>
  </si>
  <si>
    <t>김지훈</t>
  </si>
  <si>
    <t>배우진</t>
  </si>
  <si>
    <t>김하은</t>
  </si>
  <si>
    <t>김의성</t>
  </si>
  <si>
    <t>오지수</t>
  </si>
  <si>
    <t>곽민규</t>
  </si>
  <si>
    <t>박나래</t>
  </si>
  <si>
    <t>임정섭</t>
  </si>
  <si>
    <t>박해성</t>
  </si>
  <si>
    <t>이은지</t>
  </si>
  <si>
    <t>박종혁</t>
  </si>
  <si>
    <t>최한나</t>
  </si>
  <si>
    <t>김희찬</t>
  </si>
  <si>
    <t>방성진</t>
  </si>
  <si>
    <t>이서현</t>
  </si>
  <si>
    <t>박원근</t>
  </si>
  <si>
    <t>김예원</t>
  </si>
  <si>
    <t>원은서</t>
  </si>
  <si>
    <t>배성현</t>
  </si>
  <si>
    <t>오혜수</t>
  </si>
  <si>
    <t>이예슬</t>
  </si>
  <si>
    <t>한강민</t>
  </si>
  <si>
    <t>배희진</t>
  </si>
  <si>
    <t>박현서</t>
  </si>
  <si>
    <t>임슬기</t>
  </si>
  <si>
    <t>박준서</t>
  </si>
  <si>
    <t>박주은</t>
  </si>
  <si>
    <t>양종민</t>
  </si>
  <si>
    <t>한정우</t>
  </si>
  <si>
    <t>정진솔</t>
  </si>
  <si>
    <t>양희범</t>
  </si>
  <si>
    <t>박예은24</t>
  </si>
  <si>
    <t>윤은식</t>
  </si>
  <si>
    <t>김예은</t>
  </si>
  <si>
    <t>이다연</t>
  </si>
  <si>
    <t>송준혁</t>
  </si>
  <si>
    <t>유리아</t>
  </si>
  <si>
    <t>홍준수</t>
  </si>
  <si>
    <t>조예빈</t>
  </si>
  <si>
    <t>이건희</t>
  </si>
  <si>
    <t>최예나</t>
  </si>
  <si>
    <t>김은서</t>
  </si>
  <si>
    <t>이찬혁</t>
  </si>
  <si>
    <t>김선율</t>
  </si>
  <si>
    <t>허정한</t>
  </si>
  <si>
    <t>김지영</t>
  </si>
  <si>
    <t>원동회</t>
  </si>
  <si>
    <t>임서린</t>
  </si>
  <si>
    <t>전조온</t>
  </si>
  <si>
    <t>염의진</t>
  </si>
  <si>
    <t>김지희</t>
  </si>
  <si>
    <t>신우진</t>
  </si>
  <si>
    <t>이준서</t>
  </si>
  <si>
    <t>원동우</t>
  </si>
  <si>
    <t>유건희</t>
  </si>
  <si>
    <t>최진서</t>
  </si>
  <si>
    <t>정수연</t>
  </si>
  <si>
    <t>이우진</t>
  </si>
  <si>
    <t>이규현</t>
  </si>
  <si>
    <t>이재현</t>
  </si>
  <si>
    <t>군입대</t>
  </si>
  <si>
    <t>이종환</t>
  </si>
  <si>
    <t>정의진</t>
  </si>
  <si>
    <t>이재연</t>
  </si>
  <si>
    <t>추건호</t>
  </si>
  <si>
    <t>김상우</t>
  </si>
  <si>
    <t>이정우</t>
  </si>
  <si>
    <t>박중현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</si>
</sst>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0.0%"/>
  </numFmts>
  <fonts count="14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Nanum Gothic"/>
    </font>
    <font>
      <b/>
      <sz val="10"/>
      <color rgb="FFFFFFFF"/>
      <name val="Nanum Gothic"/>
    </font>
    <font>
      <b/>
      <sz val="10"/>
      <color rgb="FF000000"/>
      <name val="Nanum Gothic"/>
    </font>
    <font>
      <b/>
      <sz val="10"/>
      <color rgb="FF000000"/>
      <name val="Malgun Gothic"/>
      <family val="3"/>
      <charset val="129"/>
    </font>
    <font>
      <b/>
      <sz val="10"/>
      <color theme="1"/>
      <name val="Nanum Gothic"/>
    </font>
    <font>
      <sz val="10"/>
      <color theme="1"/>
      <name val="Nanum Gothic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FF0000"/>
      <name val="Nanum Gothic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7" fillId="0" borderId="47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7" fillId="4" borderId="49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 wrapText="1"/>
    </xf>
    <xf numFmtId="0" fontId="7" fillId="6" borderId="51" xfId="0" applyFont="1" applyFill="1" applyBorder="1" applyAlignment="1">
      <alignment horizontal="center" vertical="center"/>
    </xf>
    <xf numFmtId="0" fontId="7" fillId="6" borderId="52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54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8" fillId="4" borderId="5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7" fillId="4" borderId="5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9" fillId="0" borderId="0" xfId="0" applyFont="1"/>
    <xf numFmtId="0" fontId="2" fillId="4" borderId="38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64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7" fillId="6" borderId="6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6" fillId="6" borderId="5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5" fillId="3" borderId="25" xfId="0" applyFont="1" applyFill="1" applyBorder="1" applyAlignment="1">
      <alignment horizontal="center" vertical="center"/>
    </xf>
    <xf numFmtId="0" fontId="1" fillId="0" borderId="26" xfId="0" applyFont="1" applyBorder="1"/>
    <xf numFmtId="0" fontId="5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1" fillId="0" borderId="31" xfId="0" applyFont="1" applyBorder="1"/>
    <xf numFmtId="0" fontId="1" fillId="0" borderId="34" xfId="0" applyFont="1" applyBorder="1"/>
    <xf numFmtId="0" fontId="4" fillId="3" borderId="28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0" fontId="1" fillId="0" borderId="41" xfId="0" applyFont="1" applyBorder="1"/>
    <xf numFmtId="0" fontId="1" fillId="0" borderId="68" xfId="0" applyFont="1" applyBorder="1"/>
    <xf numFmtId="0" fontId="6" fillId="3" borderId="23" xfId="0" applyFont="1" applyFill="1" applyBorder="1" applyAlignment="1">
      <alignment horizontal="center" vertical="center"/>
    </xf>
    <xf numFmtId="0" fontId="1" fillId="0" borderId="24" xfId="0" applyFont="1" applyBorder="1"/>
    <xf numFmtId="0" fontId="1" fillId="0" borderId="32" xfId="0" applyFont="1" applyBorder="1"/>
    <xf numFmtId="0" fontId="1" fillId="0" borderId="33" xfId="0" applyFont="1" applyBorder="1"/>
    <xf numFmtId="0" fontId="6" fillId="6" borderId="25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1" fillId="0" borderId="35" xfId="0" applyFont="1" applyBorder="1"/>
    <xf numFmtId="0" fontId="4" fillId="3" borderId="23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1" fillId="0" borderId="50" xfId="0" applyFont="1" applyBorder="1"/>
    <xf numFmtId="0" fontId="3" fillId="5" borderId="2" xfId="0" applyFont="1" applyFill="1" applyBorder="1" applyAlignment="1">
      <alignment horizontal="center" vertical="center"/>
    </xf>
    <xf numFmtId="176" fontId="2" fillId="2" borderId="21" xfId="0" applyNumberFormat="1" applyFont="1" applyFill="1" applyBorder="1" applyAlignment="1">
      <alignment horizontal="center" vertical="center"/>
    </xf>
    <xf numFmtId="0" fontId="1" fillId="0" borderId="22" xfId="0" applyFont="1" applyBorder="1"/>
    <xf numFmtId="0" fontId="1" fillId="0" borderId="29" xfId="0" applyFont="1" applyBorder="1"/>
    <xf numFmtId="0" fontId="6" fillId="6" borderId="72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1" fillId="0" borderId="53" xfId="0" applyFont="1" applyBorder="1"/>
    <xf numFmtId="0" fontId="6" fillId="6" borderId="30" xfId="0" applyFont="1" applyFill="1" applyBorder="1" applyAlignment="1">
      <alignment horizontal="center" vertical="center"/>
    </xf>
    <xf numFmtId="0" fontId="1" fillId="0" borderId="60" xfId="0" applyFont="1" applyBorder="1"/>
    <xf numFmtId="0" fontId="1" fillId="0" borderId="6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983"/>
  <sheetViews>
    <sheetView tabSelected="1" topLeftCell="A19" workbookViewId="0">
      <selection activeCell="AB8" sqref="AB8"/>
    </sheetView>
  </sheetViews>
  <sheetFormatPr defaultColWidth="12.6640625" defaultRowHeight="15" customHeight="1"/>
  <cols>
    <col min="1" max="1" width="3.21875" customWidth="1"/>
    <col min="2" max="3" width="4.88671875" customWidth="1"/>
    <col min="4" max="21" width="6.44140625" customWidth="1"/>
    <col min="22" max="22" width="4.88671875" customWidth="1"/>
    <col min="23" max="23" width="3.21875" customWidth="1"/>
    <col min="24" max="26" width="7.33203125" customWidth="1"/>
    <col min="27" max="30" width="9.664062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30" t="s">
        <v>100</v>
      </c>
      <c r="C2" s="102"/>
      <c r="D2" s="102"/>
      <c r="E2" s="102"/>
      <c r="F2" s="102"/>
      <c r="G2" s="102"/>
      <c r="H2" s="102"/>
      <c r="I2" s="103"/>
      <c r="J2" s="130" t="s">
        <v>101</v>
      </c>
      <c r="K2" s="102"/>
      <c r="L2" s="102"/>
      <c r="M2" s="102"/>
      <c r="N2" s="102"/>
      <c r="O2" s="103"/>
      <c r="P2" s="130" t="s">
        <v>101</v>
      </c>
      <c r="Q2" s="102"/>
      <c r="R2" s="102"/>
      <c r="S2" s="102"/>
      <c r="T2" s="102"/>
      <c r="U2" s="103"/>
      <c r="V2" s="2"/>
      <c r="W2" s="1"/>
      <c r="X2" s="1"/>
      <c r="Y2" s="1"/>
      <c r="Z2" s="1"/>
    </row>
    <row r="3" spans="1:26" ht="15" customHeight="1">
      <c r="A3" s="1"/>
      <c r="B3" s="105"/>
      <c r="C3" s="106"/>
      <c r="D3" s="106"/>
      <c r="E3" s="106"/>
      <c r="F3" s="106"/>
      <c r="G3" s="106"/>
      <c r="H3" s="106"/>
      <c r="I3" s="107"/>
      <c r="J3" s="105"/>
      <c r="K3" s="106"/>
      <c r="L3" s="106"/>
      <c r="M3" s="106"/>
      <c r="N3" s="106"/>
      <c r="O3" s="107"/>
      <c r="P3" s="105"/>
      <c r="Q3" s="106"/>
      <c r="R3" s="106"/>
      <c r="S3" s="106"/>
      <c r="T3" s="106"/>
      <c r="U3" s="107"/>
      <c r="V3" s="2"/>
      <c r="W3" s="1"/>
      <c r="X3" s="1"/>
      <c r="Y3" s="1"/>
      <c r="Z3" s="1"/>
    </row>
    <row r="4" spans="1:26" ht="15" customHeight="1">
      <c r="A4" s="1"/>
      <c r="B4" s="3"/>
      <c r="C4" s="3"/>
      <c r="D4" s="1"/>
      <c r="E4" s="1"/>
      <c r="F4" s="1"/>
      <c r="G4" s="1"/>
      <c r="H4" s="131">
        <v>46046</v>
      </c>
      <c r="I4" s="132"/>
      <c r="J4" s="3"/>
      <c r="K4" s="3"/>
      <c r="L4" s="3"/>
      <c r="M4" s="3"/>
      <c r="N4" s="131">
        <v>46046</v>
      </c>
      <c r="O4" s="132"/>
      <c r="P4" s="3"/>
      <c r="Q4" s="3"/>
      <c r="R4" s="3"/>
      <c r="S4" s="3"/>
      <c r="T4" s="131">
        <v>46046</v>
      </c>
      <c r="U4" s="132"/>
      <c r="V4" s="3"/>
      <c r="W4" s="1"/>
      <c r="X4" s="1"/>
      <c r="Y4" s="1"/>
      <c r="Z4" s="1"/>
    </row>
    <row r="5" spans="1:26" ht="15" customHeight="1">
      <c r="A5" s="1"/>
      <c r="B5" s="126" t="s">
        <v>0</v>
      </c>
      <c r="C5" s="119"/>
      <c r="D5" s="108" t="s">
        <v>18</v>
      </c>
      <c r="E5" s="109"/>
      <c r="F5" s="108" t="s">
        <v>19</v>
      </c>
      <c r="G5" s="109"/>
      <c r="H5" s="110" t="s">
        <v>20</v>
      </c>
      <c r="I5" s="109"/>
      <c r="J5" s="108" t="s">
        <v>21</v>
      </c>
      <c r="K5" s="109"/>
      <c r="L5" s="108" t="s">
        <v>22</v>
      </c>
      <c r="M5" s="109"/>
      <c r="N5" s="108" t="s">
        <v>23</v>
      </c>
      <c r="O5" s="109"/>
      <c r="P5" s="108" t="s">
        <v>24</v>
      </c>
      <c r="Q5" s="109"/>
      <c r="R5" s="108" t="s">
        <v>25</v>
      </c>
      <c r="S5" s="109"/>
      <c r="T5" s="108" t="s">
        <v>26</v>
      </c>
      <c r="U5" s="109"/>
      <c r="V5" s="111" t="s">
        <v>102</v>
      </c>
      <c r="W5" s="1"/>
      <c r="X5" s="1"/>
      <c r="Y5" s="1"/>
      <c r="Z5" s="1"/>
    </row>
    <row r="6" spans="1:26" ht="15" customHeight="1">
      <c r="A6" s="1"/>
      <c r="B6" s="133"/>
      <c r="C6" s="104"/>
      <c r="D6" s="114" t="s">
        <v>103</v>
      </c>
      <c r="E6" s="114" t="s">
        <v>104</v>
      </c>
      <c r="F6" s="114" t="s">
        <v>103</v>
      </c>
      <c r="G6" s="114" t="s">
        <v>104</v>
      </c>
      <c r="H6" s="124" t="s">
        <v>103</v>
      </c>
      <c r="I6" s="114" t="s">
        <v>104</v>
      </c>
      <c r="J6" s="114" t="s">
        <v>103</v>
      </c>
      <c r="K6" s="114" t="s">
        <v>104</v>
      </c>
      <c r="L6" s="114" t="s">
        <v>103</v>
      </c>
      <c r="M6" s="114" t="s">
        <v>104</v>
      </c>
      <c r="N6" s="114" t="s">
        <v>103</v>
      </c>
      <c r="O6" s="114" t="s">
        <v>104</v>
      </c>
      <c r="P6" s="114" t="s">
        <v>103</v>
      </c>
      <c r="Q6" s="114" t="s">
        <v>104</v>
      </c>
      <c r="R6" s="114" t="s">
        <v>103</v>
      </c>
      <c r="S6" s="114" t="s">
        <v>104</v>
      </c>
      <c r="T6" s="114" t="s">
        <v>103</v>
      </c>
      <c r="U6" s="114" t="s">
        <v>104</v>
      </c>
      <c r="V6" s="112"/>
      <c r="W6" s="1"/>
      <c r="X6" s="1"/>
      <c r="Y6" s="1"/>
      <c r="Z6" s="1"/>
    </row>
    <row r="7" spans="1:26" ht="15" customHeight="1">
      <c r="A7" s="1"/>
      <c r="B7" s="120"/>
      <c r="C7" s="121"/>
      <c r="D7" s="113"/>
      <c r="E7" s="113"/>
      <c r="F7" s="113"/>
      <c r="G7" s="113"/>
      <c r="H7" s="125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"/>
      <c r="X7" s="1"/>
      <c r="Y7" s="1"/>
      <c r="Z7" s="1"/>
    </row>
    <row r="8" spans="1:26" ht="15" customHeight="1">
      <c r="A8" s="1"/>
      <c r="B8" s="126" t="s">
        <v>105</v>
      </c>
      <c r="C8" s="119"/>
      <c r="D8" s="4" t="s">
        <v>27</v>
      </c>
      <c r="E8" s="5" t="s">
        <v>44</v>
      </c>
      <c r="F8" s="4" t="s">
        <v>28</v>
      </c>
      <c r="G8" s="5" t="s">
        <v>45</v>
      </c>
      <c r="H8" s="6" t="s">
        <v>29</v>
      </c>
      <c r="I8" s="5" t="s">
        <v>46</v>
      </c>
      <c r="J8" s="4" t="s">
        <v>30</v>
      </c>
      <c r="K8" s="5" t="s">
        <v>47</v>
      </c>
      <c r="L8" s="4" t="s">
        <v>31</v>
      </c>
      <c r="M8" s="5" t="s">
        <v>48</v>
      </c>
      <c r="N8" s="4" t="s">
        <v>32</v>
      </c>
      <c r="O8" s="5" t="s">
        <v>49</v>
      </c>
      <c r="P8" s="4" t="s">
        <v>33</v>
      </c>
      <c r="Q8" s="5" t="s">
        <v>50</v>
      </c>
      <c r="R8" s="4" t="s">
        <v>34</v>
      </c>
      <c r="S8" s="5" t="s">
        <v>51</v>
      </c>
      <c r="T8" s="4" t="s">
        <v>35</v>
      </c>
      <c r="U8" s="5" t="s">
        <v>52</v>
      </c>
      <c r="V8" s="135">
        <f>COUNTA(D8:U9)</f>
        <v>36</v>
      </c>
      <c r="W8" s="1"/>
      <c r="X8" s="1"/>
      <c r="Y8" s="1"/>
      <c r="Z8" s="1"/>
    </row>
    <row r="9" spans="1:26" ht="15" customHeight="1">
      <c r="A9" s="1"/>
      <c r="B9" s="120"/>
      <c r="C9" s="121"/>
      <c r="D9" s="7" t="s">
        <v>36</v>
      </c>
      <c r="E9" s="8" t="s">
        <v>53</v>
      </c>
      <c r="F9" s="7" t="s">
        <v>37</v>
      </c>
      <c r="G9" s="9" t="s">
        <v>54</v>
      </c>
      <c r="H9" s="10" t="s">
        <v>38</v>
      </c>
      <c r="I9" s="9" t="s">
        <v>55</v>
      </c>
      <c r="J9" s="7" t="s">
        <v>39</v>
      </c>
      <c r="K9" s="11" t="s">
        <v>56</v>
      </c>
      <c r="L9" s="10" t="s">
        <v>40</v>
      </c>
      <c r="M9" s="12" t="s">
        <v>57</v>
      </c>
      <c r="N9" s="13" t="s">
        <v>41</v>
      </c>
      <c r="O9" s="9" t="s">
        <v>58</v>
      </c>
      <c r="P9" s="14" t="s">
        <v>9</v>
      </c>
      <c r="Q9" s="9" t="s">
        <v>59</v>
      </c>
      <c r="R9" s="13" t="s">
        <v>42</v>
      </c>
      <c r="S9" s="9" t="s">
        <v>60</v>
      </c>
      <c r="T9" s="13" t="s">
        <v>43</v>
      </c>
      <c r="U9" s="9" t="s">
        <v>61</v>
      </c>
      <c r="V9" s="113"/>
      <c r="W9" s="1"/>
      <c r="X9" s="1"/>
      <c r="Y9" s="1"/>
      <c r="Z9" s="1"/>
    </row>
    <row r="10" spans="1:26" ht="15" customHeight="1">
      <c r="A10" s="1"/>
      <c r="B10" s="127" t="s">
        <v>106</v>
      </c>
      <c r="C10" s="128" t="s">
        <v>107</v>
      </c>
      <c r="D10" s="15" t="s">
        <v>8</v>
      </c>
      <c r="E10" s="16" t="s">
        <v>11</v>
      </c>
      <c r="F10" s="17" t="s">
        <v>108</v>
      </c>
      <c r="G10" s="18" t="s">
        <v>17</v>
      </c>
      <c r="H10" s="19" t="s">
        <v>1</v>
      </c>
      <c r="I10" s="20" t="s">
        <v>109</v>
      </c>
      <c r="J10" s="17" t="s">
        <v>64</v>
      </c>
      <c r="K10" s="16" t="s">
        <v>12</v>
      </c>
      <c r="L10" s="21" t="s">
        <v>3</v>
      </c>
      <c r="M10" s="18" t="s">
        <v>15</v>
      </c>
      <c r="N10" s="22" t="s">
        <v>6</v>
      </c>
      <c r="O10" s="23" t="s">
        <v>16</v>
      </c>
      <c r="P10" s="24" t="s">
        <v>2</v>
      </c>
      <c r="Q10" s="23" t="s">
        <v>110</v>
      </c>
      <c r="R10" s="17" t="s">
        <v>111</v>
      </c>
      <c r="S10" s="23" t="s">
        <v>112</v>
      </c>
      <c r="T10" s="15" t="s">
        <v>7</v>
      </c>
      <c r="U10" s="23" t="s">
        <v>113</v>
      </c>
      <c r="V10" s="135">
        <f>COUNTA(D10:U20)</f>
        <v>132</v>
      </c>
      <c r="W10" s="1"/>
      <c r="X10" s="1"/>
      <c r="Y10" s="1"/>
      <c r="Z10" s="1"/>
    </row>
    <row r="11" spans="1:26" ht="15" customHeight="1">
      <c r="A11" s="1"/>
      <c r="B11" s="116"/>
      <c r="C11" s="112"/>
      <c r="D11" s="22" t="s">
        <v>114</v>
      </c>
      <c r="E11" s="18" t="s">
        <v>65</v>
      </c>
      <c r="F11" s="22" t="s">
        <v>115</v>
      </c>
      <c r="G11" s="25" t="s">
        <v>116</v>
      </c>
      <c r="H11" s="21" t="s">
        <v>117</v>
      </c>
      <c r="I11" s="26" t="s">
        <v>118</v>
      </c>
      <c r="J11" s="22" t="s">
        <v>9</v>
      </c>
      <c r="K11" s="18" t="s">
        <v>119</v>
      </c>
      <c r="L11" s="21" t="s">
        <v>120</v>
      </c>
      <c r="M11" s="18" t="s">
        <v>121</v>
      </c>
      <c r="N11" s="27" t="s">
        <v>122</v>
      </c>
      <c r="O11" s="18" t="s">
        <v>123</v>
      </c>
      <c r="P11" s="22" t="s">
        <v>124</v>
      </c>
      <c r="Q11" s="18" t="s">
        <v>125</v>
      </c>
      <c r="R11" s="28" t="s">
        <v>126</v>
      </c>
      <c r="S11" s="18" t="s">
        <v>127</v>
      </c>
      <c r="T11" s="28" t="s">
        <v>128</v>
      </c>
      <c r="U11" s="18" t="s">
        <v>129</v>
      </c>
      <c r="V11" s="112"/>
      <c r="W11" s="1"/>
      <c r="X11" s="29"/>
      <c r="Y11" s="1"/>
      <c r="Z11" s="1"/>
    </row>
    <row r="12" spans="1:26" ht="15" customHeight="1">
      <c r="A12" s="1"/>
      <c r="B12" s="116"/>
      <c r="C12" s="112"/>
      <c r="D12" s="30" t="s">
        <v>130</v>
      </c>
      <c r="E12" s="18" t="s">
        <v>131</v>
      </c>
      <c r="F12" s="22" t="s">
        <v>62</v>
      </c>
      <c r="G12" s="18" t="s">
        <v>132</v>
      </c>
      <c r="H12" s="21" t="s">
        <v>133</v>
      </c>
      <c r="I12" s="26" t="s">
        <v>134</v>
      </c>
      <c r="J12" s="22" t="s">
        <v>135</v>
      </c>
      <c r="K12" s="18" t="s">
        <v>70</v>
      </c>
      <c r="L12" s="21" t="s">
        <v>136</v>
      </c>
      <c r="M12" s="18" t="s">
        <v>67</v>
      </c>
      <c r="N12" s="30" t="s">
        <v>137</v>
      </c>
      <c r="O12" s="31" t="s">
        <v>138</v>
      </c>
      <c r="P12" s="22" t="s">
        <v>139</v>
      </c>
      <c r="Q12" s="25" t="s">
        <v>140</v>
      </c>
      <c r="R12" s="22" t="s">
        <v>141</v>
      </c>
      <c r="S12" s="18" t="s">
        <v>5</v>
      </c>
      <c r="T12" s="28" t="s">
        <v>4</v>
      </c>
      <c r="U12" s="18" t="s">
        <v>142</v>
      </c>
      <c r="V12" s="112"/>
      <c r="W12" s="1"/>
      <c r="X12" s="29"/>
      <c r="Y12" s="1"/>
      <c r="Z12" s="1"/>
    </row>
    <row r="13" spans="1:26" ht="15" customHeight="1">
      <c r="A13" s="1"/>
      <c r="B13" s="116"/>
      <c r="C13" s="112"/>
      <c r="D13" s="30" t="s">
        <v>143</v>
      </c>
      <c r="E13" s="18" t="s">
        <v>144</v>
      </c>
      <c r="F13" s="22" t="s">
        <v>145</v>
      </c>
      <c r="G13" s="18" t="s">
        <v>14</v>
      </c>
      <c r="H13" s="21" t="s">
        <v>146</v>
      </c>
      <c r="I13" s="26" t="s">
        <v>77</v>
      </c>
      <c r="J13" s="22" t="s">
        <v>147</v>
      </c>
      <c r="K13" s="32" t="s">
        <v>13</v>
      </c>
      <c r="L13" s="33" t="s">
        <v>148</v>
      </c>
      <c r="M13" s="18" t="s">
        <v>149</v>
      </c>
      <c r="N13" s="22" t="s">
        <v>150</v>
      </c>
      <c r="O13" s="18" t="s">
        <v>151</v>
      </c>
      <c r="P13" s="22" t="s">
        <v>152</v>
      </c>
      <c r="Q13" s="32" t="s">
        <v>74</v>
      </c>
      <c r="R13" s="22" t="s">
        <v>153</v>
      </c>
      <c r="S13" s="32" t="s">
        <v>154</v>
      </c>
      <c r="T13" s="22" t="s">
        <v>155</v>
      </c>
      <c r="U13" s="18" t="s">
        <v>156</v>
      </c>
      <c r="V13" s="112"/>
      <c r="W13" s="1"/>
      <c r="X13" s="29"/>
      <c r="Y13" s="1"/>
      <c r="Z13" s="1"/>
    </row>
    <row r="14" spans="1:26" ht="15" customHeight="1">
      <c r="A14" s="1"/>
      <c r="B14" s="116"/>
      <c r="C14" s="112"/>
      <c r="D14" s="30" t="s">
        <v>78</v>
      </c>
      <c r="E14" s="32" t="s">
        <v>157</v>
      </c>
      <c r="F14" s="22" t="s">
        <v>158</v>
      </c>
      <c r="G14" s="18" t="s">
        <v>159</v>
      </c>
      <c r="H14" s="21" t="s">
        <v>160</v>
      </c>
      <c r="I14" s="34" t="s">
        <v>161</v>
      </c>
      <c r="J14" s="30" t="s">
        <v>162</v>
      </c>
      <c r="K14" s="18" t="s">
        <v>163</v>
      </c>
      <c r="L14" s="33" t="s">
        <v>164</v>
      </c>
      <c r="M14" s="18" t="s">
        <v>165</v>
      </c>
      <c r="N14" s="21" t="s">
        <v>166</v>
      </c>
      <c r="O14" s="18" t="s">
        <v>81</v>
      </c>
      <c r="P14" s="30" t="s">
        <v>167</v>
      </c>
      <c r="Q14" s="25" t="s">
        <v>168</v>
      </c>
      <c r="R14" s="30" t="s">
        <v>69</v>
      </c>
      <c r="S14" s="35" t="s">
        <v>169</v>
      </c>
      <c r="T14" s="36" t="s">
        <v>170</v>
      </c>
      <c r="U14" s="18" t="s">
        <v>171</v>
      </c>
      <c r="V14" s="112"/>
      <c r="W14" s="1"/>
      <c r="X14" s="1"/>
      <c r="Y14" s="1"/>
      <c r="Z14" s="1"/>
    </row>
    <row r="15" spans="1:26" ht="15" customHeight="1">
      <c r="A15" s="1"/>
      <c r="B15" s="116"/>
      <c r="C15" s="112"/>
      <c r="D15" s="30" t="s">
        <v>89</v>
      </c>
      <c r="E15" s="18" t="s">
        <v>172</v>
      </c>
      <c r="F15" s="22" t="s">
        <v>173</v>
      </c>
      <c r="G15" s="18" t="s">
        <v>174</v>
      </c>
      <c r="H15" s="22" t="s">
        <v>175</v>
      </c>
      <c r="I15" s="34" t="s">
        <v>176</v>
      </c>
      <c r="J15" s="22" t="s">
        <v>177</v>
      </c>
      <c r="K15" s="18" t="s">
        <v>178</v>
      </c>
      <c r="L15" s="21" t="s">
        <v>72</v>
      </c>
      <c r="M15" s="18" t="s">
        <v>179</v>
      </c>
      <c r="N15" s="22" t="s">
        <v>180</v>
      </c>
      <c r="O15" s="25" t="s">
        <v>181</v>
      </c>
      <c r="P15" s="37" t="s">
        <v>76</v>
      </c>
      <c r="Q15" s="31" t="s">
        <v>182</v>
      </c>
      <c r="R15" s="22" t="s">
        <v>183</v>
      </c>
      <c r="S15" s="32" t="s">
        <v>184</v>
      </c>
      <c r="T15" s="22" t="s">
        <v>185</v>
      </c>
      <c r="U15" s="31" t="s">
        <v>10</v>
      </c>
      <c r="V15" s="112"/>
      <c r="W15" s="1"/>
      <c r="X15" s="1"/>
      <c r="Y15" s="1"/>
      <c r="Z15" s="1"/>
    </row>
    <row r="16" spans="1:26" ht="15" customHeight="1">
      <c r="A16" s="1"/>
      <c r="B16" s="116"/>
      <c r="C16" s="112"/>
      <c r="D16" s="30" t="s">
        <v>186</v>
      </c>
      <c r="E16" s="18" t="s">
        <v>187</v>
      </c>
      <c r="F16" s="22" t="s">
        <v>188</v>
      </c>
      <c r="G16" s="18" t="s">
        <v>189</v>
      </c>
      <c r="H16" s="22" t="s">
        <v>190</v>
      </c>
      <c r="I16" s="18" t="s">
        <v>191</v>
      </c>
      <c r="J16" s="22" t="s">
        <v>99</v>
      </c>
      <c r="K16" s="25" t="s">
        <v>192</v>
      </c>
      <c r="L16" s="38" t="s">
        <v>193</v>
      </c>
      <c r="M16" s="18"/>
      <c r="N16" s="22" t="s">
        <v>194</v>
      </c>
      <c r="O16" s="32" t="s">
        <v>195</v>
      </c>
      <c r="P16" s="30" t="s">
        <v>196</v>
      </c>
      <c r="Q16" s="18" t="s">
        <v>197</v>
      </c>
      <c r="R16" s="30" t="s">
        <v>98</v>
      </c>
      <c r="S16" s="32" t="s">
        <v>90</v>
      </c>
      <c r="T16" s="22"/>
      <c r="U16" s="32" t="s">
        <v>198</v>
      </c>
      <c r="V16" s="112"/>
      <c r="W16" s="1"/>
      <c r="X16" s="1"/>
      <c r="Y16" s="1"/>
      <c r="Z16" s="1"/>
    </row>
    <row r="17" spans="1:30" ht="15" customHeight="1">
      <c r="A17" s="1"/>
      <c r="B17" s="116"/>
      <c r="C17" s="112"/>
      <c r="D17" s="22" t="s">
        <v>199</v>
      </c>
      <c r="E17" s="31" t="s">
        <v>200</v>
      </c>
      <c r="F17" s="22"/>
      <c r="G17" s="25"/>
      <c r="H17" s="22" t="s">
        <v>201</v>
      </c>
      <c r="I17" s="39"/>
      <c r="J17" s="24"/>
      <c r="K17" s="40"/>
      <c r="L17" s="38" t="s">
        <v>202</v>
      </c>
      <c r="M17" s="18"/>
      <c r="N17" s="41"/>
      <c r="O17" s="32"/>
      <c r="P17" s="30" t="s">
        <v>203</v>
      </c>
      <c r="Q17" s="25"/>
      <c r="R17" s="21"/>
      <c r="S17" s="42" t="s">
        <v>204</v>
      </c>
      <c r="T17" s="22"/>
      <c r="U17" s="18" t="s">
        <v>205</v>
      </c>
      <c r="V17" s="112"/>
      <c r="W17" s="1"/>
      <c r="X17" s="1"/>
      <c r="Y17" s="1"/>
      <c r="Z17" s="1"/>
    </row>
    <row r="18" spans="1:30" ht="15" customHeight="1">
      <c r="A18" s="1"/>
      <c r="B18" s="116"/>
      <c r="C18" s="112"/>
      <c r="D18" s="30"/>
      <c r="E18" s="32"/>
      <c r="F18" s="22"/>
      <c r="G18" s="18"/>
      <c r="H18" s="38" t="s">
        <v>206</v>
      </c>
      <c r="I18" s="34"/>
      <c r="J18" s="30"/>
      <c r="K18" s="32"/>
      <c r="L18" s="38"/>
      <c r="M18" s="32"/>
      <c r="N18" s="38"/>
      <c r="O18" s="34"/>
      <c r="P18" s="30"/>
      <c r="Q18" s="32"/>
      <c r="R18" s="30"/>
      <c r="S18" s="34"/>
      <c r="T18" s="30"/>
      <c r="U18" s="18"/>
      <c r="V18" s="112"/>
      <c r="W18" s="1"/>
      <c r="X18" s="1"/>
      <c r="Y18" s="1"/>
      <c r="Z18" s="1"/>
    </row>
    <row r="19" spans="1:30" ht="15" customHeight="1">
      <c r="A19" s="1"/>
      <c r="B19" s="116"/>
      <c r="C19" s="112"/>
      <c r="D19" s="43"/>
      <c r="E19" s="44"/>
      <c r="F19" s="43"/>
      <c r="G19" s="44"/>
      <c r="H19" s="45"/>
      <c r="I19" s="46"/>
      <c r="J19" s="43"/>
      <c r="K19" s="44"/>
      <c r="L19" s="45"/>
      <c r="M19" s="44"/>
      <c r="N19" s="45"/>
      <c r="O19" s="46"/>
      <c r="P19" s="43"/>
      <c r="Q19" s="44"/>
      <c r="R19" s="45"/>
      <c r="S19" s="46"/>
      <c r="T19" s="43"/>
      <c r="U19" s="44"/>
      <c r="V19" s="112"/>
      <c r="W19" s="1"/>
      <c r="X19" s="1"/>
      <c r="Y19" s="1"/>
      <c r="Z19" s="1"/>
    </row>
    <row r="20" spans="1:30" ht="15" customHeight="1">
      <c r="A20" s="1"/>
      <c r="B20" s="116"/>
      <c r="C20" s="112"/>
      <c r="D20" s="43"/>
      <c r="E20" s="44"/>
      <c r="F20" s="43"/>
      <c r="G20" s="44"/>
      <c r="H20" s="45"/>
      <c r="I20" s="46"/>
      <c r="J20" s="43"/>
      <c r="K20" s="44"/>
      <c r="L20" s="45"/>
      <c r="M20" s="44"/>
      <c r="N20" s="45"/>
      <c r="O20" s="46"/>
      <c r="P20" s="43"/>
      <c r="Q20" s="44"/>
      <c r="R20" s="45"/>
      <c r="S20" s="46"/>
      <c r="T20" s="43"/>
      <c r="U20" s="44"/>
      <c r="V20" s="112"/>
      <c r="W20" s="1"/>
      <c r="X20" s="1"/>
      <c r="Y20" s="1"/>
      <c r="Z20" s="1"/>
    </row>
    <row r="21" spans="1:30" ht="15" customHeight="1">
      <c r="A21" s="1"/>
      <c r="B21" s="116"/>
      <c r="C21" s="129"/>
      <c r="D21" s="45"/>
      <c r="E21" s="44"/>
      <c r="F21" s="43"/>
      <c r="G21" s="44"/>
      <c r="H21" s="45"/>
      <c r="I21" s="46"/>
      <c r="J21" s="47"/>
      <c r="K21" s="48"/>
      <c r="L21" s="45"/>
      <c r="M21" s="44"/>
      <c r="N21" s="45"/>
      <c r="O21" s="46"/>
      <c r="P21" s="43"/>
      <c r="Q21" s="44"/>
      <c r="R21" s="45"/>
      <c r="S21" s="46"/>
      <c r="T21" s="43"/>
      <c r="U21" s="44"/>
      <c r="V21" s="112"/>
      <c r="W21" s="1"/>
      <c r="X21" s="1"/>
      <c r="Y21" s="1"/>
      <c r="Z21" s="1"/>
    </row>
    <row r="22" spans="1:30" ht="15" customHeight="1">
      <c r="A22" s="1"/>
      <c r="B22" s="116"/>
      <c r="C22" s="49" t="s">
        <v>207</v>
      </c>
      <c r="D22" s="50">
        <f t="shared" ref="D22:U22" si="0">COUNTA(D8:D21)</f>
        <v>10</v>
      </c>
      <c r="E22" s="50">
        <f t="shared" si="0"/>
        <v>10</v>
      </c>
      <c r="F22" s="50">
        <f t="shared" si="0"/>
        <v>9</v>
      </c>
      <c r="G22" s="50">
        <f t="shared" si="0"/>
        <v>9</v>
      </c>
      <c r="H22" s="50">
        <f t="shared" si="0"/>
        <v>11</v>
      </c>
      <c r="I22" s="50">
        <f t="shared" si="0"/>
        <v>9</v>
      </c>
      <c r="J22" s="51">
        <f t="shared" si="0"/>
        <v>9</v>
      </c>
      <c r="K22" s="51">
        <f t="shared" si="0"/>
        <v>9</v>
      </c>
      <c r="L22" s="50">
        <f t="shared" si="0"/>
        <v>10</v>
      </c>
      <c r="M22" s="50">
        <f t="shared" si="0"/>
        <v>8</v>
      </c>
      <c r="N22" s="50">
        <f t="shared" si="0"/>
        <v>9</v>
      </c>
      <c r="O22" s="50">
        <f t="shared" si="0"/>
        <v>9</v>
      </c>
      <c r="P22" s="50">
        <f t="shared" si="0"/>
        <v>10</v>
      </c>
      <c r="Q22" s="50">
        <f t="shared" si="0"/>
        <v>9</v>
      </c>
      <c r="R22" s="50">
        <f t="shared" si="0"/>
        <v>9</v>
      </c>
      <c r="S22" s="50">
        <f t="shared" si="0"/>
        <v>10</v>
      </c>
      <c r="T22" s="50">
        <f t="shared" si="0"/>
        <v>8</v>
      </c>
      <c r="U22" s="50">
        <f t="shared" si="0"/>
        <v>10</v>
      </c>
      <c r="V22" s="136"/>
      <c r="W22" s="1"/>
      <c r="X22" s="1"/>
      <c r="Y22" s="52"/>
      <c r="Z22" s="1"/>
    </row>
    <row r="23" spans="1:30" ht="15" customHeight="1">
      <c r="A23" s="1"/>
      <c r="B23" s="116"/>
      <c r="C23" s="128" t="s">
        <v>208</v>
      </c>
      <c r="D23" s="53" t="s">
        <v>71</v>
      </c>
      <c r="E23" s="54" t="s">
        <v>95</v>
      </c>
      <c r="F23" s="53" t="s">
        <v>84</v>
      </c>
      <c r="G23" s="54"/>
      <c r="H23" s="53" t="s">
        <v>86</v>
      </c>
      <c r="I23" s="54" t="s">
        <v>96</v>
      </c>
      <c r="J23" s="53" t="s">
        <v>83</v>
      </c>
      <c r="K23" s="54" t="s">
        <v>91</v>
      </c>
      <c r="L23" s="53" t="s">
        <v>87</v>
      </c>
      <c r="M23" s="54" t="s">
        <v>93</v>
      </c>
      <c r="N23" s="53"/>
      <c r="O23" s="54" t="s">
        <v>209</v>
      </c>
      <c r="P23" s="55" t="s">
        <v>88</v>
      </c>
      <c r="Q23" s="54" t="s">
        <v>75</v>
      </c>
      <c r="R23" s="53" t="s">
        <v>68</v>
      </c>
      <c r="S23" s="54"/>
      <c r="T23" s="53" t="s">
        <v>82</v>
      </c>
      <c r="U23" s="54" t="s">
        <v>92</v>
      </c>
      <c r="V23" s="135">
        <f>COUNTA(D23:U24)</f>
        <v>15</v>
      </c>
      <c r="W23" s="1"/>
      <c r="Z23" s="1"/>
    </row>
    <row r="24" spans="1:30" ht="15" customHeight="1">
      <c r="A24" s="1"/>
      <c r="B24" s="116"/>
      <c r="C24" s="113"/>
      <c r="D24" s="56"/>
      <c r="E24" s="48"/>
      <c r="F24" s="56"/>
      <c r="G24" s="48"/>
      <c r="H24" s="56"/>
      <c r="I24" s="48"/>
      <c r="J24" s="56"/>
      <c r="K24" s="48"/>
      <c r="L24" s="56"/>
      <c r="M24" s="48"/>
      <c r="N24" s="56"/>
      <c r="O24" s="48"/>
      <c r="P24" s="56"/>
      <c r="Q24" s="48"/>
      <c r="R24" s="56"/>
      <c r="S24" s="48"/>
      <c r="T24" s="56"/>
      <c r="U24" s="48"/>
      <c r="V24" s="113"/>
      <c r="W24" s="1"/>
      <c r="X24" s="1"/>
      <c r="Y24" s="52"/>
      <c r="Z24" s="1"/>
    </row>
    <row r="25" spans="1:30" ht="15" customHeight="1">
      <c r="A25" s="1"/>
      <c r="B25" s="116"/>
      <c r="C25" s="128" t="s">
        <v>210</v>
      </c>
      <c r="D25" s="57" t="s">
        <v>211</v>
      </c>
      <c r="E25" s="18" t="s">
        <v>212</v>
      </c>
      <c r="F25" s="58" t="s">
        <v>213</v>
      </c>
      <c r="G25" s="59" t="s">
        <v>214</v>
      </c>
      <c r="H25" s="60" t="s">
        <v>215</v>
      </c>
      <c r="I25" s="59" t="s">
        <v>216</v>
      </c>
      <c r="J25" s="61" t="s">
        <v>217</v>
      </c>
      <c r="K25" s="62" t="s">
        <v>85</v>
      </c>
      <c r="L25" s="63" t="s">
        <v>218</v>
      </c>
      <c r="M25" s="23" t="s">
        <v>219</v>
      </c>
      <c r="N25" s="22" t="s">
        <v>220</v>
      </c>
      <c r="O25" s="62" t="s">
        <v>63</v>
      </c>
      <c r="P25" s="64" t="s">
        <v>221</v>
      </c>
      <c r="Q25" s="31" t="s">
        <v>222</v>
      </c>
      <c r="R25" s="61" t="s">
        <v>223</v>
      </c>
      <c r="S25" s="65" t="s">
        <v>224</v>
      </c>
      <c r="T25" s="22" t="s">
        <v>225</v>
      </c>
      <c r="U25" s="66" t="s">
        <v>226</v>
      </c>
      <c r="V25" s="137">
        <f>COUNTA(D25:U33)</f>
        <v>78</v>
      </c>
      <c r="W25" s="1"/>
      <c r="X25" s="52"/>
      <c r="Y25" s="52"/>
      <c r="Z25" s="1"/>
    </row>
    <row r="26" spans="1:30" ht="15" customHeight="1">
      <c r="A26" s="1"/>
      <c r="B26" s="116"/>
      <c r="C26" s="112"/>
      <c r="D26" s="67" t="s">
        <v>227</v>
      </c>
      <c r="E26" s="18" t="s">
        <v>73</v>
      </c>
      <c r="F26" s="22" t="s">
        <v>228</v>
      </c>
      <c r="G26" s="31" t="s">
        <v>229</v>
      </c>
      <c r="H26" s="21" t="s">
        <v>230</v>
      </c>
      <c r="I26" s="31" t="s">
        <v>231</v>
      </c>
      <c r="J26" s="21" t="s">
        <v>232</v>
      </c>
      <c r="K26" s="26" t="s">
        <v>44</v>
      </c>
      <c r="L26" s="28" t="s">
        <v>233</v>
      </c>
      <c r="M26" s="18" t="s">
        <v>234</v>
      </c>
      <c r="N26" s="68" t="s">
        <v>235</v>
      </c>
      <c r="O26" s="26" t="s">
        <v>236</v>
      </c>
      <c r="P26" s="22" t="s">
        <v>80</v>
      </c>
      <c r="Q26" s="59" t="s">
        <v>237</v>
      </c>
      <c r="R26" s="21" t="s">
        <v>238</v>
      </c>
      <c r="S26" s="26" t="s">
        <v>239</v>
      </c>
      <c r="T26" s="22" t="s">
        <v>66</v>
      </c>
      <c r="U26" s="18" t="s">
        <v>240</v>
      </c>
      <c r="V26" s="138"/>
      <c r="W26" s="1"/>
      <c r="X26" s="52"/>
      <c r="Y26" s="52"/>
      <c r="Z26" s="1"/>
    </row>
    <row r="27" spans="1:30" ht="15" customHeight="1">
      <c r="A27" s="1"/>
      <c r="B27" s="116"/>
      <c r="C27" s="112"/>
      <c r="D27" s="69" t="s">
        <v>241</v>
      </c>
      <c r="E27" s="18" t="s">
        <v>242</v>
      </c>
      <c r="F27" s="22" t="s">
        <v>243</v>
      </c>
      <c r="G27" s="18" t="s">
        <v>244</v>
      </c>
      <c r="H27" s="70" t="s">
        <v>245</v>
      </c>
      <c r="I27" s="18" t="s">
        <v>246</v>
      </c>
      <c r="J27" s="21" t="s">
        <v>247</v>
      </c>
      <c r="K27" s="26" t="s">
        <v>248</v>
      </c>
      <c r="L27" s="28" t="s">
        <v>249</v>
      </c>
      <c r="M27" s="18" t="s">
        <v>79</v>
      </c>
      <c r="N27" s="68" t="s">
        <v>250</v>
      </c>
      <c r="O27" s="71" t="s">
        <v>251</v>
      </c>
      <c r="P27" s="22" t="s">
        <v>252</v>
      </c>
      <c r="Q27" s="59" t="s">
        <v>253</v>
      </c>
      <c r="R27" s="21" t="s">
        <v>94</v>
      </c>
      <c r="S27" s="31" t="s">
        <v>254</v>
      </c>
      <c r="T27" s="22" t="s">
        <v>255</v>
      </c>
      <c r="U27" s="18" t="s">
        <v>256</v>
      </c>
      <c r="V27" s="138"/>
      <c r="W27" s="1"/>
      <c r="X27" s="52"/>
      <c r="Y27" s="1"/>
      <c r="Z27" s="1"/>
    </row>
    <row r="28" spans="1:30" ht="15" customHeight="1">
      <c r="A28" s="1"/>
      <c r="B28" s="116"/>
      <c r="C28" s="112"/>
      <c r="D28" s="69" t="s">
        <v>257</v>
      </c>
      <c r="E28" s="72" t="s">
        <v>258</v>
      </c>
      <c r="F28" s="22" t="s">
        <v>259</v>
      </c>
      <c r="G28" s="18" t="s">
        <v>260</v>
      </c>
      <c r="H28" s="21" t="s">
        <v>97</v>
      </c>
      <c r="I28" s="18" t="s">
        <v>261</v>
      </c>
      <c r="J28" s="21" t="s">
        <v>262</v>
      </c>
      <c r="K28" s="73" t="s">
        <v>263</v>
      </c>
      <c r="L28" s="28" t="s">
        <v>264</v>
      </c>
      <c r="M28" s="18" t="s">
        <v>265</v>
      </c>
      <c r="N28" s="21" t="s">
        <v>266</v>
      </c>
      <c r="O28" s="74" t="s">
        <v>267</v>
      </c>
      <c r="P28" s="22"/>
      <c r="Q28" s="18" t="s">
        <v>268</v>
      </c>
      <c r="R28" s="22" t="s">
        <v>269</v>
      </c>
      <c r="S28" s="25" t="s">
        <v>270</v>
      </c>
      <c r="T28" s="22" t="s">
        <v>271</v>
      </c>
      <c r="U28" s="25"/>
      <c r="V28" s="138"/>
      <c r="W28" s="1"/>
      <c r="X28" s="52"/>
      <c r="Y28" s="1"/>
      <c r="Z28" s="1"/>
    </row>
    <row r="29" spans="1:30" ht="15" customHeight="1">
      <c r="A29" s="1"/>
      <c r="B29" s="116"/>
      <c r="C29" s="112"/>
      <c r="D29" s="69"/>
      <c r="E29" s="75"/>
      <c r="F29" s="22" t="s">
        <v>272</v>
      </c>
      <c r="G29" s="18"/>
      <c r="H29" s="76" t="s">
        <v>273</v>
      </c>
      <c r="I29" s="18"/>
      <c r="J29" s="21"/>
      <c r="K29" s="41"/>
      <c r="L29" s="27"/>
      <c r="M29" s="18"/>
      <c r="N29" s="70" t="s">
        <v>274</v>
      </c>
      <c r="O29" s="26"/>
      <c r="P29" s="22"/>
      <c r="Q29" s="18"/>
      <c r="R29" s="21" t="s">
        <v>275</v>
      </c>
      <c r="S29" s="65" t="s">
        <v>276</v>
      </c>
      <c r="T29" s="22" t="s">
        <v>277</v>
      </c>
      <c r="U29" s="25"/>
      <c r="V29" s="138"/>
      <c r="W29" s="1"/>
      <c r="X29" s="1"/>
      <c r="Y29" s="1"/>
      <c r="Z29" s="1"/>
    </row>
    <row r="30" spans="1:30" ht="15" customHeight="1">
      <c r="A30" s="1"/>
      <c r="B30" s="116"/>
      <c r="C30" s="112"/>
      <c r="D30" s="69"/>
      <c r="E30" s="18"/>
      <c r="F30" s="77"/>
      <c r="G30" s="18"/>
      <c r="H30" s="21"/>
      <c r="I30" s="18"/>
      <c r="J30" s="76"/>
      <c r="K30" s="65"/>
      <c r="L30" s="28"/>
      <c r="M30" s="18"/>
      <c r="N30" s="78" t="s">
        <v>278</v>
      </c>
      <c r="O30" s="26"/>
      <c r="P30" s="22"/>
      <c r="Q30" s="25"/>
      <c r="R30" s="21"/>
      <c r="S30" s="65"/>
      <c r="T30" s="22"/>
      <c r="U30" s="25"/>
      <c r="V30" s="138"/>
      <c r="W30" s="1"/>
      <c r="X30" s="1"/>
      <c r="Y30" s="1"/>
      <c r="Z30" s="1"/>
    </row>
    <row r="31" spans="1:30" ht="15" customHeight="1">
      <c r="A31" s="1"/>
      <c r="B31" s="116"/>
      <c r="C31" s="112"/>
      <c r="D31" s="79"/>
      <c r="E31" s="80"/>
      <c r="F31" s="77"/>
      <c r="G31" s="80"/>
      <c r="H31" s="76"/>
      <c r="I31" s="80"/>
      <c r="J31" s="81"/>
      <c r="K31" s="39"/>
      <c r="L31" s="28"/>
      <c r="M31" s="80"/>
      <c r="N31" s="76" t="s">
        <v>279</v>
      </c>
      <c r="O31" s="39"/>
      <c r="P31" s="77"/>
      <c r="Q31" s="80"/>
      <c r="R31" s="76"/>
      <c r="S31" s="39"/>
      <c r="T31" s="22"/>
      <c r="U31" s="80"/>
      <c r="V31" s="138"/>
      <c r="W31" s="1"/>
      <c r="X31" s="1"/>
      <c r="Y31" s="1"/>
      <c r="Z31" s="1"/>
      <c r="AD31" s="82"/>
    </row>
    <row r="32" spans="1:30" ht="15" customHeight="1">
      <c r="A32" s="1"/>
      <c r="B32" s="116"/>
      <c r="C32" s="112"/>
      <c r="D32" s="79"/>
      <c r="E32" s="83"/>
      <c r="F32" s="84"/>
      <c r="G32" s="83"/>
      <c r="H32" s="79"/>
      <c r="I32" s="83"/>
      <c r="J32" s="85"/>
      <c r="K32" s="86"/>
      <c r="L32" s="84"/>
      <c r="M32" s="83"/>
      <c r="N32" s="79"/>
      <c r="O32" s="86"/>
      <c r="P32" s="84"/>
      <c r="Q32" s="83"/>
      <c r="R32" s="79"/>
      <c r="S32" s="86"/>
      <c r="T32" s="43"/>
      <c r="U32" s="83"/>
      <c r="V32" s="138"/>
      <c r="W32" s="1"/>
      <c r="X32" s="1"/>
      <c r="Y32" s="1"/>
      <c r="Z32" s="1"/>
    </row>
    <row r="33" spans="1:26" ht="15" customHeight="1">
      <c r="A33" s="1"/>
      <c r="B33" s="116"/>
      <c r="C33" s="113"/>
      <c r="D33" s="79"/>
      <c r="E33" s="83"/>
      <c r="F33" s="84"/>
      <c r="G33" s="83"/>
      <c r="H33" s="79"/>
      <c r="I33" s="83"/>
      <c r="J33" s="86"/>
      <c r="K33" s="86"/>
      <c r="L33" s="47"/>
      <c r="M33" s="87"/>
      <c r="N33" s="79"/>
      <c r="O33" s="86"/>
      <c r="P33" s="84"/>
      <c r="Q33" s="83"/>
      <c r="R33" s="79"/>
      <c r="S33" s="86"/>
      <c r="T33" s="43"/>
      <c r="U33" s="83"/>
      <c r="V33" s="138"/>
      <c r="W33" s="1"/>
      <c r="X33" s="1"/>
      <c r="Y33" s="1"/>
      <c r="Z33" s="1"/>
    </row>
    <row r="34" spans="1:26" ht="15" customHeight="1">
      <c r="A34" s="1"/>
      <c r="B34" s="116"/>
      <c r="C34" s="49" t="s">
        <v>207</v>
      </c>
      <c r="D34" s="88">
        <f t="shared" ref="D34:U34" si="1">COUNTA(D23:D33)</f>
        <v>5</v>
      </c>
      <c r="E34" s="88">
        <f t="shared" si="1"/>
        <v>5</v>
      </c>
      <c r="F34" s="88">
        <f t="shared" si="1"/>
        <v>6</v>
      </c>
      <c r="G34" s="88">
        <f t="shared" si="1"/>
        <v>4</v>
      </c>
      <c r="H34" s="88">
        <f t="shared" si="1"/>
        <v>6</v>
      </c>
      <c r="I34" s="88">
        <f t="shared" si="1"/>
        <v>5</v>
      </c>
      <c r="J34" s="88">
        <f t="shared" si="1"/>
        <v>5</v>
      </c>
      <c r="K34" s="88">
        <f t="shared" si="1"/>
        <v>5</v>
      </c>
      <c r="L34" s="88">
        <f t="shared" si="1"/>
        <v>5</v>
      </c>
      <c r="M34" s="88">
        <f t="shared" si="1"/>
        <v>5</v>
      </c>
      <c r="N34" s="88">
        <f t="shared" si="1"/>
        <v>7</v>
      </c>
      <c r="O34" s="88">
        <f t="shared" si="1"/>
        <v>5</v>
      </c>
      <c r="P34" s="88">
        <f t="shared" si="1"/>
        <v>4</v>
      </c>
      <c r="Q34" s="88">
        <f t="shared" si="1"/>
        <v>5</v>
      </c>
      <c r="R34" s="88">
        <f t="shared" si="1"/>
        <v>6</v>
      </c>
      <c r="S34" s="88">
        <f t="shared" si="1"/>
        <v>5</v>
      </c>
      <c r="T34" s="88">
        <f t="shared" si="1"/>
        <v>6</v>
      </c>
      <c r="U34" s="88">
        <f t="shared" si="1"/>
        <v>4</v>
      </c>
      <c r="V34" s="139"/>
      <c r="W34" s="1"/>
      <c r="X34" s="1"/>
      <c r="Y34" s="1"/>
      <c r="Z34" s="1"/>
    </row>
    <row r="35" spans="1:26" ht="15" customHeight="1">
      <c r="A35" s="1"/>
      <c r="B35" s="116"/>
      <c r="C35" s="115" t="s">
        <v>280</v>
      </c>
      <c r="D35" s="63" t="s">
        <v>281</v>
      </c>
      <c r="E35" s="89"/>
      <c r="F35" s="64" t="s">
        <v>282</v>
      </c>
      <c r="G35" s="90"/>
      <c r="H35" s="91" t="s">
        <v>283</v>
      </c>
      <c r="I35" s="89"/>
      <c r="J35" s="63" t="s">
        <v>284</v>
      </c>
      <c r="K35" s="92"/>
      <c r="L35" s="63"/>
      <c r="M35" s="89"/>
      <c r="N35" s="93" t="s">
        <v>285</v>
      </c>
      <c r="O35" s="92"/>
      <c r="P35" s="63"/>
      <c r="Q35" s="89"/>
      <c r="R35" s="93" t="s">
        <v>286</v>
      </c>
      <c r="S35" s="92"/>
      <c r="T35" s="63" t="s">
        <v>287</v>
      </c>
      <c r="U35" s="89"/>
      <c r="V35" s="137">
        <f>COUNTA(D35:U37)</f>
        <v>7</v>
      </c>
      <c r="W35" s="1"/>
      <c r="X35" s="1"/>
      <c r="Y35" s="1"/>
      <c r="Z35" s="1"/>
    </row>
    <row r="36" spans="1:26" ht="15" customHeight="1">
      <c r="A36" s="1"/>
      <c r="B36" s="116"/>
      <c r="C36" s="116"/>
      <c r="D36" s="64"/>
      <c r="E36" s="90"/>
      <c r="F36" s="64"/>
      <c r="G36" s="90"/>
      <c r="H36" s="94"/>
      <c r="I36" s="90"/>
      <c r="J36" s="94"/>
      <c r="K36" s="95"/>
      <c r="L36" s="64"/>
      <c r="M36" s="90"/>
      <c r="N36" s="94"/>
      <c r="O36" s="95"/>
      <c r="P36" s="64"/>
      <c r="Q36" s="90"/>
      <c r="R36" s="94"/>
      <c r="S36" s="95"/>
      <c r="T36" s="64"/>
      <c r="U36" s="90"/>
      <c r="V36" s="138"/>
      <c r="W36" s="1"/>
      <c r="X36" s="1"/>
      <c r="Y36" s="1"/>
      <c r="Z36" s="1"/>
    </row>
    <row r="37" spans="1:26" ht="15" customHeight="1">
      <c r="A37" s="1"/>
      <c r="B37" s="117"/>
      <c r="C37" s="117"/>
      <c r="D37" s="96"/>
      <c r="E37" s="97"/>
      <c r="F37" s="96"/>
      <c r="G37" s="97"/>
      <c r="H37" s="98"/>
      <c r="I37" s="97"/>
      <c r="J37" s="98"/>
      <c r="K37" s="99"/>
      <c r="L37" s="96"/>
      <c r="M37" s="97"/>
      <c r="N37" s="98"/>
      <c r="O37" s="99"/>
      <c r="P37" s="96"/>
      <c r="Q37" s="97"/>
      <c r="R37" s="98"/>
      <c r="S37" s="99"/>
      <c r="T37" s="96"/>
      <c r="U37" s="97"/>
      <c r="V37" s="125"/>
      <c r="W37" s="1"/>
      <c r="X37" s="1"/>
      <c r="Y37" s="1"/>
      <c r="Z37" s="1"/>
    </row>
    <row r="38" spans="1:26" ht="15" customHeight="1">
      <c r="A38" s="1"/>
      <c r="B38" s="118" t="s">
        <v>102</v>
      </c>
      <c r="C38" s="119"/>
      <c r="D38" s="100">
        <f t="shared" ref="D38:U38" si="2">D22+D34</f>
        <v>15</v>
      </c>
      <c r="E38" s="100">
        <f t="shared" si="2"/>
        <v>15</v>
      </c>
      <c r="F38" s="100">
        <f t="shared" si="2"/>
        <v>15</v>
      </c>
      <c r="G38" s="100">
        <f t="shared" si="2"/>
        <v>13</v>
      </c>
      <c r="H38" s="100">
        <f t="shared" si="2"/>
        <v>17</v>
      </c>
      <c r="I38" s="100">
        <f t="shared" si="2"/>
        <v>14</v>
      </c>
      <c r="J38" s="100">
        <f t="shared" si="2"/>
        <v>14</v>
      </c>
      <c r="K38" s="100">
        <f t="shared" si="2"/>
        <v>14</v>
      </c>
      <c r="L38" s="100">
        <f t="shared" si="2"/>
        <v>15</v>
      </c>
      <c r="M38" s="100">
        <f t="shared" si="2"/>
        <v>13</v>
      </c>
      <c r="N38" s="100">
        <f t="shared" si="2"/>
        <v>16</v>
      </c>
      <c r="O38" s="100">
        <f t="shared" si="2"/>
        <v>14</v>
      </c>
      <c r="P38" s="100">
        <f t="shared" si="2"/>
        <v>14</v>
      </c>
      <c r="Q38" s="100">
        <f t="shared" si="2"/>
        <v>14</v>
      </c>
      <c r="R38" s="100">
        <f t="shared" si="2"/>
        <v>15</v>
      </c>
      <c r="S38" s="100">
        <f t="shared" si="2"/>
        <v>15</v>
      </c>
      <c r="T38" s="100">
        <f t="shared" si="2"/>
        <v>14</v>
      </c>
      <c r="U38" s="100">
        <f t="shared" si="2"/>
        <v>14</v>
      </c>
      <c r="V38" s="134">
        <f>SUM(D39:U39)</f>
        <v>261</v>
      </c>
      <c r="W38" s="1"/>
      <c r="X38" s="1"/>
      <c r="Y38" s="1"/>
      <c r="Z38" s="1"/>
    </row>
    <row r="39" spans="1:26" ht="15" customHeight="1">
      <c r="A39" s="1"/>
      <c r="B39" s="120"/>
      <c r="C39" s="121"/>
      <c r="D39" s="122">
        <f>D38+E38</f>
        <v>30</v>
      </c>
      <c r="E39" s="109"/>
      <c r="F39" s="122">
        <f>F38+G38</f>
        <v>28</v>
      </c>
      <c r="G39" s="109"/>
      <c r="H39" s="123">
        <f>H38+I38</f>
        <v>31</v>
      </c>
      <c r="I39" s="109"/>
      <c r="J39" s="122">
        <f>J38+K38</f>
        <v>28</v>
      </c>
      <c r="K39" s="109"/>
      <c r="L39" s="122">
        <f>L38+M38</f>
        <v>28</v>
      </c>
      <c r="M39" s="109"/>
      <c r="N39" s="122">
        <f>N38+O38</f>
        <v>30</v>
      </c>
      <c r="O39" s="109"/>
      <c r="P39" s="122">
        <f>P38+Q38</f>
        <v>28</v>
      </c>
      <c r="Q39" s="109"/>
      <c r="R39" s="122">
        <f>R38+S38</f>
        <v>30</v>
      </c>
      <c r="S39" s="109"/>
      <c r="T39" s="122">
        <f>T38+U38</f>
        <v>28</v>
      </c>
      <c r="U39" s="109"/>
      <c r="V39" s="113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ht="13.2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 ht="13.2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 ht="13.2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 ht="13.2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 ht="13.2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 ht="13.2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 ht="13.2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 ht="13.2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 ht="13.2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 ht="13.2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 ht="13.2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ht="13.2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 ht="13.2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 ht="13.2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 ht="13.2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 ht="13.2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 ht="13.2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 ht="13.2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 ht="13.2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 ht="13.2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3.2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 ht="13.2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 ht="13.2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 ht="13.2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 ht="13.2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 ht="13.2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 ht="13.2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 ht="13.2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 ht="13.2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 ht="13.2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 ht="13.2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 ht="13.2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 ht="13.2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 ht="13.2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 ht="13.2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 ht="13.2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 ht="13.2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 ht="13.2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 ht="13.2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 ht="13.2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 ht="13.2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 ht="13.2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 ht="13.2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 ht="13.2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 ht="13.2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 ht="13.2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 ht="13.2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 ht="13.2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 ht="13.2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 ht="13.2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 ht="13.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 ht="13.2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 ht="13.2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 ht="13.2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 ht="13.2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 ht="13.2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 ht="13.2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 ht="13.2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 ht="13.2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 ht="13.2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 ht="13.2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 ht="13.2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ht="13.2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ht="13.2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 ht="13.2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 ht="13.2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ht="13.2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ht="13.2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ht="13.2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ht="13.2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 ht="13.2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 ht="13.2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ht="13.2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 ht="13.2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ht="13.2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ht="13.2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ht="13.2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 ht="13.2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 ht="13.2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ht="13.2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 ht="13.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ht="13.2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 ht="13.2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ht="13.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 ht="13.2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 ht="13.2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 ht="13.2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 ht="13.2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 ht="13.2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 ht="13.2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 ht="13.2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 ht="13.2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 ht="13.2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 ht="13.2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 ht="13.2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 ht="13.2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 ht="13.2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 ht="13.2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 ht="13.2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 ht="13.2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 ht="13.2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 ht="13.2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 ht="13.2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 ht="13.2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 ht="13.2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 ht="13.2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 ht="13.2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 ht="13.2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 ht="13.2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 ht="13.2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 ht="13.2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 ht="13.2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 ht="13.2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 ht="13.2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 ht="13.2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 ht="13.2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 ht="13.2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 ht="13.2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 ht="13.2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 ht="13.2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 ht="13.2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 ht="13.2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 ht="13.2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 ht="13.2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 ht="13.2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 ht="13.2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 ht="13.2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 ht="13.2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 ht="13.2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 ht="13.2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 ht="13.2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 ht="13.2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 ht="13.2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 ht="13.2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 ht="13.2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 ht="13.2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ht="13.2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ht="13.2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ht="13.2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ht="13.2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ht="13.2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ht="13.2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ht="13.2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ht="13.2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ht="13.2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ht="13.2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ht="13.2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ht="13.2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ht="13.2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ht="13.2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ht="13.2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ht="13.2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ht="13.2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ht="13.2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ht="13.2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ht="13.2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ht="13.2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ht="13.2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ht="13.2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ht="13.2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ht="13.2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ht="13.2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ht="13.2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ht="13.2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ht="13.2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ht="13.2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ht="13.2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ht="13.2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ht="13.2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ht="13.2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ht="13.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ht="13.2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ht="13.2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ht="13.2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ht="13.2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ht="13.2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ht="13.2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ht="13.2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ht="13.2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ht="13.2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ht="13.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ht="13.2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ht="13.2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ht="13.2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ht="13.2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ht="13.2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ht="13.2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ht="13.2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ht="13.2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ht="13.2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ht="13.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ht="13.2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ht="13.2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ht="13.2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ht="13.2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ht="13.2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ht="13.2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ht="13.2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ht="13.2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ht="13.2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ht="13.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ht="13.2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ht="13.2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ht="13.2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ht="13.2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ht="13.2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ht="13.2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ht="13.2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ht="13.2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ht="13.2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ht="13.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ht="13.2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ht="13.2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ht="13.2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ht="13.2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ht="13.2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ht="13.2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ht="13.2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ht="13.2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ht="13.2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ht="13.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ht="13.2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ht="13.2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ht="13.2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ht="13.2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ht="13.2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ht="13.2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ht="13.2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ht="13.2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ht="13.2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ht="13.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ht="13.2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ht="13.2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ht="13.2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ht="13.2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ht="13.2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ht="13.2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ht="13.2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ht="13.2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ht="13.2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ht="13.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ht="13.2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ht="13.2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ht="13.2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ht="13.2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ht="13.2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ht="13.2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ht="13.2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ht="13.2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ht="13.2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ht="13.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ht="13.2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ht="13.2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ht="13.2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ht="13.2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ht="13.2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ht="13.2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ht="13.2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ht="13.2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ht="13.2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ht="13.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ht="13.2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ht="13.2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ht="13.2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ht="13.2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ht="13.2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ht="13.2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ht="13.2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ht="13.2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ht="13.2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ht="13.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ht="13.2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ht="13.2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ht="13.2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ht="13.2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ht="13.2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ht="13.2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ht="13.2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ht="13.2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ht="13.2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ht="13.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ht="13.2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ht="13.2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ht="13.2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ht="13.2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ht="13.2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ht="13.2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ht="13.2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ht="13.2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ht="13.2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ht="13.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ht="13.2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ht="13.2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ht="13.2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ht="13.2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ht="13.2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ht="13.2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ht="13.2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ht="13.2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ht="13.2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ht="13.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ht="13.2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ht="13.2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ht="13.2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ht="13.2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ht="13.2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ht="13.2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ht="13.2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ht="13.2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ht="13.2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ht="13.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ht="13.2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ht="13.2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ht="13.2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ht="13.2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ht="13.2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ht="13.2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ht="13.2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ht="13.2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ht="13.2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ht="13.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ht="13.2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ht="13.2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ht="13.2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ht="13.2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ht="13.2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ht="13.2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ht="13.2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ht="13.2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ht="13.2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ht="13.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ht="13.2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ht="13.2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ht="13.2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ht="13.2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ht="13.2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ht="13.2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ht="13.2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ht="13.2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ht="13.2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ht="13.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ht="13.2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ht="13.2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ht="13.2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ht="13.2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ht="13.2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ht="13.2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ht="13.2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ht="13.2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ht="13.2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ht="13.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ht="13.2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ht="13.2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ht="13.2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ht="13.2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ht="13.2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ht="13.2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ht="13.2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ht="13.2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ht="13.2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ht="13.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ht="13.2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ht="13.2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ht="13.2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ht="13.2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ht="13.2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ht="13.2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ht="13.2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ht="13.2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ht="13.2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ht="13.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ht="13.2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ht="13.2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ht="13.2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ht="13.2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ht="13.2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ht="13.2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ht="13.2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ht="13.2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ht="13.2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ht="13.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ht="13.2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ht="13.2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ht="13.2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ht="13.2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ht="13.2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ht="13.2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ht="13.2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ht="13.2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ht="13.2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ht="13.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ht="13.2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ht="13.2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ht="13.2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ht="13.2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ht="13.2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ht="13.2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ht="13.2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ht="13.2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ht="13.2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ht="13.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ht="13.2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ht="13.2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ht="13.2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ht="13.2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ht="13.2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ht="13.2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ht="13.2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ht="13.2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ht="13.2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ht="13.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ht="13.2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ht="13.2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ht="13.2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ht="13.2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ht="13.2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ht="13.2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ht="13.2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ht="13.2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ht="13.2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ht="13.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ht="13.2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ht="13.2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ht="13.2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ht="13.2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ht="13.2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ht="13.2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ht="13.2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ht="13.2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ht="13.2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ht="13.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ht="13.2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ht="13.2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ht="13.2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ht="13.2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ht="13.2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ht="13.2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ht="13.2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ht="13.2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ht="13.2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ht="13.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ht="13.2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ht="13.2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ht="13.2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ht="13.2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ht="13.2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ht="13.2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ht="13.2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ht="13.2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ht="13.2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ht="13.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ht="13.2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ht="13.2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ht="13.2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ht="13.2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ht="13.2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ht="13.2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ht="13.2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ht="13.2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ht="13.2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ht="13.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ht="13.2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ht="13.2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ht="13.2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ht="13.2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ht="13.2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ht="13.2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ht="13.2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ht="13.2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ht="13.2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ht="13.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ht="13.2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ht="13.2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ht="13.2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ht="13.2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ht="13.2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ht="13.2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ht="13.2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ht="13.2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ht="13.2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ht="13.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ht="13.2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ht="13.2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ht="13.2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ht="13.2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ht="13.2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ht="13.2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ht="13.2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ht="13.2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ht="13.2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ht="13.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ht="13.2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ht="13.2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ht="13.2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ht="13.2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ht="13.2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ht="13.2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ht="13.2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ht="13.2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ht="13.2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ht="13.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ht="13.2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ht="13.2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ht="13.2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ht="13.2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ht="13.2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ht="13.2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ht="13.2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ht="13.2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ht="13.2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ht="13.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ht="13.2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ht="13.2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ht="13.2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ht="13.2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ht="13.2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ht="13.2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ht="13.2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ht="13.2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ht="13.2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ht="13.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ht="13.2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ht="13.2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ht="13.2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ht="13.2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ht="13.2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ht="13.2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ht="13.2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ht="13.2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ht="13.2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ht="13.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ht="13.2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ht="13.2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ht="13.2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ht="13.2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ht="13.2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ht="13.2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ht="13.2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ht="13.2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ht="13.2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ht="13.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ht="13.2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ht="13.2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ht="13.2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ht="13.2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ht="13.2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ht="13.2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ht="13.2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ht="13.2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ht="13.2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ht="13.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ht="13.2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ht="13.2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ht="13.2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ht="13.2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ht="13.2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ht="13.2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ht="13.2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ht="13.2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ht="13.2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ht="13.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ht="13.2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ht="13.2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ht="13.2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ht="13.2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ht="13.2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ht="13.2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ht="13.2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ht="13.2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ht="13.2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ht="13.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ht="13.2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ht="13.2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ht="13.2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ht="13.2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ht="13.2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ht="13.2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ht="13.2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ht="13.2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ht="13.2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ht="13.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ht="13.2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ht="13.2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ht="13.2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ht="13.2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ht="13.2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ht="13.2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ht="13.2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ht="13.2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ht="13.2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ht="13.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ht="13.2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ht="13.2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ht="13.2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ht="13.2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ht="13.2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ht="13.2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ht="13.2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ht="13.2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ht="13.2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ht="13.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ht="13.2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ht="13.2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ht="13.2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ht="13.2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ht="13.2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ht="13.2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ht="13.2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ht="13.2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ht="13.2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ht="13.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ht="13.2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ht="13.2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ht="13.2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ht="13.2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ht="13.2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ht="13.2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ht="13.2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ht="13.2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ht="13.2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ht="13.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ht="13.2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ht="13.2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ht="13.2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ht="13.2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ht="13.2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ht="13.2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ht="13.2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ht="13.2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ht="13.2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ht="13.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ht="13.2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ht="13.2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ht="13.2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ht="13.2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ht="13.2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ht="13.2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ht="13.2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ht="13.2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ht="13.2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ht="13.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ht="13.2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ht="13.2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ht="13.2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ht="13.2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ht="13.2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ht="13.2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ht="13.2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ht="13.2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ht="13.2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ht="13.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ht="13.2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ht="13.2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ht="13.2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ht="13.2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ht="13.2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ht="13.2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ht="13.2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ht="13.2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ht="13.2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ht="13.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ht="13.2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ht="13.2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ht="13.2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ht="13.2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ht="13.2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ht="13.2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ht="13.2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ht="13.2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ht="13.2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ht="13.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ht="13.2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ht="13.2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ht="13.2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ht="13.2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ht="13.2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ht="13.2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ht="13.2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ht="13.2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ht="13.2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ht="13.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ht="13.2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ht="13.2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ht="13.2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ht="13.2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ht="13.2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ht="13.2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ht="13.2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ht="13.2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ht="13.2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ht="13.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ht="13.2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ht="13.2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ht="13.2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ht="13.2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ht="13.2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ht="13.2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ht="13.2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ht="13.2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ht="13.2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ht="13.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ht="13.2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ht="13.2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ht="13.2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ht="13.2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ht="13.2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ht="13.2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ht="13.2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ht="13.2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ht="13.2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ht="13.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ht="13.2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ht="13.2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ht="13.2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ht="13.2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ht="13.2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ht="13.2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ht="13.2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ht="13.2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ht="13.2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ht="13.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ht="13.2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ht="13.2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ht="13.2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ht="13.2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ht="13.2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ht="13.2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ht="13.2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ht="13.2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ht="13.2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ht="13.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ht="13.2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ht="13.2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ht="13.2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ht="13.2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ht="13.2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ht="13.2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ht="13.2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ht="13.2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ht="13.2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ht="13.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ht="13.2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ht="13.2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ht="13.2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ht="13.2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ht="13.2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ht="13.2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ht="13.2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ht="13.2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ht="13.2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ht="13.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ht="13.2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ht="13.2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ht="13.2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ht="13.2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ht="13.2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ht="13.2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ht="13.2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ht="13.2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ht="13.2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ht="13.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ht="13.2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ht="13.2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ht="13.2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ht="13.2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ht="13.2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ht="13.2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ht="13.2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ht="13.2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ht="13.2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ht="13.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ht="13.2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ht="13.2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ht="13.2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ht="13.2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ht="13.2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ht="13.2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ht="13.2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ht="13.2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ht="13.2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ht="13.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ht="13.2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ht="13.2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ht="13.2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ht="13.2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ht="13.2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ht="13.2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ht="13.2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ht="13.2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ht="13.2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ht="13.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ht="13.2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ht="13.2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ht="13.2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ht="13.2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ht="13.2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ht="13.2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ht="13.2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ht="13.2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ht="13.2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ht="13.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ht="13.2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ht="13.2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ht="13.2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ht="13.2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ht="13.2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ht="13.2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ht="13.2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ht="13.2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ht="13.2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ht="13.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ht="13.2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ht="13.2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ht="13.2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ht="13.2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ht="13.2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ht="13.2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ht="13.2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ht="13.2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ht="13.2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ht="13.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ht="13.2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ht="13.2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ht="13.2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ht="13.2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ht="13.2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ht="13.2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ht="13.2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ht="13.2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ht="13.2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ht="13.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ht="13.2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ht="13.2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ht="13.2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ht="13.2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ht="13.2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ht="13.2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ht="13.2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ht="13.2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ht="13.2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ht="13.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ht="13.2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ht="13.2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ht="13.2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ht="13.2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ht="13.2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ht="13.2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ht="13.2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ht="13.2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ht="13.2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ht="13.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ht="13.2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ht="13.2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ht="13.2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ht="13.2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ht="13.2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ht="13.2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ht="13.2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ht="13.2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ht="13.2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ht="13.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ht="13.2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ht="13.2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ht="13.2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ht="13.2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ht="13.2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ht="13.2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ht="13.2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ht="13.2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ht="13.2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ht="13.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ht="13.2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ht="13.2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ht="13.2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ht="13.2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ht="13.2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ht="13.2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ht="13.2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ht="13.2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ht="13.2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ht="13.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ht="13.2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ht="13.2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ht="13.2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ht="13.2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ht="13.2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ht="13.2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ht="13.2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ht="13.2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ht="13.2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ht="13.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ht="13.2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ht="13.2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ht="13.2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ht="13.2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ht="13.2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ht="13.2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ht="13.2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ht="13.2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ht="13.2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ht="13.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ht="13.2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ht="13.2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ht="13.2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ht="13.2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ht="13.2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ht="13.2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ht="13.2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ht="13.2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ht="13.2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ht="13.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ht="13.2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ht="13.2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ht="13.2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ht="13.2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ht="13.2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ht="13.2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ht="13.2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ht="13.2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ht="13.2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spans="1:26" ht="13.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spans="1:26" ht="13.2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spans="1:26" ht="13.2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spans="1:26" ht="13.2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spans="1:26" ht="13.2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spans="1:26" ht="13.2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spans="1:26" ht="13.2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spans="1:26" ht="13.2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spans="1:26" ht="13.2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spans="1:26" ht="13.2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spans="1:26" ht="13.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spans="1:26" ht="13.2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spans="1:26" ht="13.2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spans="1:26" ht="13.2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spans="1:26" ht="13.2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spans="1:26" ht="13.2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spans="1:26" ht="13.2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spans="1:26" ht="13.2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spans="1:26" ht="13.2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spans="1:26" ht="13.2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spans="1:26" ht="13.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spans="1:26" ht="13.2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</sheetData>
  <mergeCells count="57">
    <mergeCell ref="V38:V39"/>
    <mergeCell ref="T39:U39"/>
    <mergeCell ref="T6:T7"/>
    <mergeCell ref="U6:U7"/>
    <mergeCell ref="V8:V9"/>
    <mergeCell ref="V10:V22"/>
    <mergeCell ref="V23:V24"/>
    <mergeCell ref="V25:V34"/>
    <mergeCell ref="V35:V37"/>
    <mergeCell ref="B2:I3"/>
    <mergeCell ref="J2:O3"/>
    <mergeCell ref="P2:U3"/>
    <mergeCell ref="H4:I4"/>
    <mergeCell ref="N4:O4"/>
    <mergeCell ref="T4:U4"/>
    <mergeCell ref="N39:O39"/>
    <mergeCell ref="P6:P7"/>
    <mergeCell ref="Q6:Q7"/>
    <mergeCell ref="P39:Q39"/>
    <mergeCell ref="R6:R7"/>
    <mergeCell ref="R39:S39"/>
    <mergeCell ref="J6:J7"/>
    <mergeCell ref="K6:K7"/>
    <mergeCell ref="J39:K39"/>
    <mergeCell ref="L6:L7"/>
    <mergeCell ref="M6:M7"/>
    <mergeCell ref="L39:M39"/>
    <mergeCell ref="B38:C39"/>
    <mergeCell ref="D39:E39"/>
    <mergeCell ref="F39:G39"/>
    <mergeCell ref="H39:I39"/>
    <mergeCell ref="H6:H7"/>
    <mergeCell ref="I6:I7"/>
    <mergeCell ref="B8:C9"/>
    <mergeCell ref="B10:B37"/>
    <mergeCell ref="C10:C21"/>
    <mergeCell ref="C23:C24"/>
    <mergeCell ref="C25:C33"/>
    <mergeCell ref="B5:C7"/>
    <mergeCell ref="D6:D7"/>
    <mergeCell ref="E6:E7"/>
    <mergeCell ref="F6:F7"/>
    <mergeCell ref="G6:G7"/>
    <mergeCell ref="C35:C37"/>
    <mergeCell ref="N5:O5"/>
    <mergeCell ref="P5:Q5"/>
    <mergeCell ref="R5:S5"/>
    <mergeCell ref="T5:U5"/>
    <mergeCell ref="V5:V7"/>
    <mergeCell ref="N6:N7"/>
    <mergeCell ref="O6:O7"/>
    <mergeCell ref="S6:S7"/>
    <mergeCell ref="D5:E5"/>
    <mergeCell ref="F5:G5"/>
    <mergeCell ref="H5:I5"/>
    <mergeCell ref="J5:K5"/>
    <mergeCell ref="L5:M5"/>
  </mergeCells>
  <phoneticPr fontId="13" type="noConversion"/>
  <printOptions horizontalCentered="1"/>
  <pageMargins left="0.15748031496062992" right="0.15748031496062992" top="0.59055118110236227" bottom="0.59055118110236227" header="0" footer="0"/>
  <pageSetup orientation="portrait" r:id="rId1"/>
  <colBreaks count="2" manualBreakCount="2">
    <brk id="9" man="1"/>
    <brk id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26_청년_부서명단 (수정)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 YOUTH</dc:creator>
  <cp:lastModifiedBy>RODEM</cp:lastModifiedBy>
  <dcterms:created xsi:type="dcterms:W3CDTF">2023-12-16T06:18:13Z</dcterms:created>
  <dcterms:modified xsi:type="dcterms:W3CDTF">2026-03-14T09:02:34Z</dcterms:modified>
</cp:coreProperties>
</file>